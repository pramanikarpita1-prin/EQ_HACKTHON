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xr:revisionPtr revIDLastSave="0" documentId="8_{19D9ECF6-2A1D-47C7-B084-F8692D218BB1}" xr6:coauthVersionLast="47" xr6:coauthVersionMax="47" xr10:uidLastSave="{00000000-0000-0000-0000-000000000000}"/>
  <bookViews>
    <workbookView xWindow="0" yWindow="0" windowWidth="16384" windowHeight="8192" xr2:uid="{00000000-000D-0000-FFFF-FFFF00000000}"/>
  </bookViews>
  <sheets>
    <sheet name="Historical Batch Data" sheetId="1" r:id="rId1"/>
    <sheet name="OOS Events" sheetId="2" r:id="rId2"/>
    <sheet name="Data Dictionary" sheetId="3" r:id="rId3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04" i="1" l="1"/>
  <c r="J604" i="1"/>
  <c r="K603" i="1"/>
  <c r="J603" i="1"/>
  <c r="K602" i="1"/>
  <c r="J602" i="1"/>
  <c r="K601" i="1"/>
  <c r="J601" i="1"/>
  <c r="K600" i="1"/>
  <c r="J600" i="1"/>
  <c r="K599" i="1"/>
  <c r="J599" i="1"/>
  <c r="K598" i="1"/>
  <c r="J598" i="1"/>
  <c r="K597" i="1"/>
  <c r="J597" i="1"/>
  <c r="K596" i="1"/>
  <c r="J596" i="1"/>
  <c r="K595" i="1"/>
  <c r="J595" i="1"/>
  <c r="K594" i="1"/>
  <c r="J594" i="1"/>
  <c r="K593" i="1"/>
  <c r="J593" i="1"/>
  <c r="K592" i="1"/>
  <c r="J592" i="1"/>
  <c r="K591" i="1"/>
  <c r="J591" i="1"/>
  <c r="K590" i="1"/>
  <c r="J590" i="1"/>
  <c r="K589" i="1"/>
  <c r="J589" i="1"/>
  <c r="K588" i="1"/>
  <c r="J588" i="1"/>
  <c r="K587" i="1"/>
  <c r="J587" i="1"/>
  <c r="K586" i="1"/>
  <c r="J586" i="1"/>
  <c r="K585" i="1"/>
  <c r="J585" i="1"/>
  <c r="K584" i="1"/>
  <c r="J584" i="1"/>
  <c r="K583" i="1"/>
  <c r="J583" i="1"/>
  <c r="K582" i="1"/>
  <c r="J582" i="1"/>
  <c r="K581" i="1"/>
  <c r="J581" i="1"/>
  <c r="K580" i="1"/>
  <c r="J580" i="1"/>
  <c r="K579" i="1"/>
  <c r="J579" i="1"/>
  <c r="K578" i="1"/>
  <c r="J578" i="1"/>
  <c r="K577" i="1"/>
  <c r="J577" i="1"/>
  <c r="K576" i="1"/>
  <c r="J576" i="1"/>
  <c r="K575" i="1"/>
  <c r="J575" i="1"/>
  <c r="K574" i="1"/>
  <c r="J574" i="1"/>
  <c r="K573" i="1"/>
  <c r="J573" i="1"/>
  <c r="K572" i="1"/>
  <c r="J572" i="1"/>
  <c r="K571" i="1"/>
  <c r="J571" i="1"/>
  <c r="K570" i="1"/>
  <c r="J570" i="1"/>
  <c r="K569" i="1"/>
  <c r="J569" i="1"/>
  <c r="K568" i="1"/>
  <c r="J568" i="1"/>
  <c r="K567" i="1"/>
  <c r="J567" i="1"/>
  <c r="K566" i="1"/>
  <c r="J566" i="1"/>
  <c r="K565" i="1"/>
  <c r="J565" i="1"/>
  <c r="K564" i="1"/>
  <c r="J564" i="1"/>
  <c r="K563" i="1"/>
  <c r="J563" i="1"/>
  <c r="K562" i="1"/>
  <c r="J562" i="1"/>
  <c r="K561" i="1"/>
  <c r="J561" i="1"/>
  <c r="K560" i="1"/>
  <c r="J560" i="1"/>
  <c r="K559" i="1"/>
  <c r="J559" i="1"/>
  <c r="K558" i="1"/>
  <c r="J558" i="1"/>
  <c r="K557" i="1"/>
  <c r="J557" i="1"/>
  <c r="K556" i="1"/>
  <c r="J556" i="1"/>
  <c r="K555" i="1"/>
  <c r="J555" i="1"/>
  <c r="K554" i="1"/>
  <c r="J554" i="1"/>
  <c r="K553" i="1"/>
  <c r="J553" i="1"/>
  <c r="K552" i="1"/>
  <c r="J552" i="1"/>
  <c r="K551" i="1"/>
  <c r="J551" i="1"/>
  <c r="K550" i="1"/>
  <c r="J550" i="1"/>
  <c r="K549" i="1"/>
  <c r="J549" i="1"/>
  <c r="K548" i="1"/>
  <c r="J548" i="1"/>
  <c r="K547" i="1"/>
  <c r="J547" i="1"/>
  <c r="K546" i="1"/>
  <c r="J546" i="1"/>
  <c r="K545" i="1"/>
  <c r="J545" i="1"/>
  <c r="K544" i="1"/>
  <c r="J544" i="1"/>
  <c r="K543" i="1"/>
  <c r="J543" i="1"/>
  <c r="K542" i="1"/>
  <c r="J542" i="1"/>
  <c r="K541" i="1"/>
  <c r="J541" i="1"/>
  <c r="K540" i="1"/>
  <c r="J540" i="1"/>
  <c r="K539" i="1"/>
  <c r="J539" i="1"/>
  <c r="K538" i="1"/>
  <c r="J538" i="1"/>
  <c r="K537" i="1"/>
  <c r="J537" i="1"/>
  <c r="K536" i="1"/>
  <c r="J536" i="1"/>
  <c r="K535" i="1"/>
  <c r="J535" i="1"/>
  <c r="K534" i="1"/>
  <c r="J534" i="1"/>
  <c r="K533" i="1"/>
  <c r="J533" i="1"/>
  <c r="K532" i="1"/>
  <c r="J532" i="1"/>
  <c r="K531" i="1"/>
  <c r="J531" i="1"/>
  <c r="K530" i="1"/>
  <c r="J530" i="1"/>
  <c r="K529" i="1"/>
  <c r="J529" i="1"/>
  <c r="K528" i="1"/>
  <c r="J528" i="1"/>
  <c r="K527" i="1"/>
  <c r="J527" i="1"/>
  <c r="K526" i="1"/>
  <c r="J526" i="1"/>
  <c r="K525" i="1"/>
  <c r="J525" i="1"/>
  <c r="K524" i="1"/>
  <c r="J524" i="1"/>
  <c r="K523" i="1"/>
  <c r="J523" i="1"/>
  <c r="K522" i="1"/>
  <c r="J522" i="1"/>
  <c r="K521" i="1"/>
  <c r="J521" i="1"/>
  <c r="K520" i="1"/>
  <c r="J520" i="1"/>
  <c r="K519" i="1"/>
  <c r="J519" i="1"/>
  <c r="K518" i="1"/>
  <c r="J518" i="1"/>
  <c r="K517" i="1"/>
  <c r="J517" i="1"/>
  <c r="K516" i="1"/>
  <c r="J516" i="1"/>
  <c r="K515" i="1"/>
  <c r="J515" i="1"/>
  <c r="K514" i="1"/>
  <c r="J514" i="1"/>
  <c r="K513" i="1"/>
  <c r="J513" i="1"/>
  <c r="K512" i="1"/>
  <c r="J512" i="1"/>
  <c r="K511" i="1"/>
  <c r="J511" i="1"/>
  <c r="K510" i="1"/>
  <c r="J510" i="1"/>
  <c r="K509" i="1"/>
  <c r="J509" i="1"/>
  <c r="K508" i="1"/>
  <c r="J508" i="1"/>
  <c r="K507" i="1"/>
  <c r="J507" i="1"/>
  <c r="K506" i="1"/>
  <c r="J506" i="1"/>
  <c r="K505" i="1"/>
  <c r="J505" i="1"/>
  <c r="K504" i="1"/>
  <c r="J504" i="1"/>
  <c r="K503" i="1"/>
  <c r="J503" i="1"/>
  <c r="K502" i="1"/>
  <c r="J502" i="1"/>
  <c r="K501" i="1"/>
  <c r="J501" i="1"/>
  <c r="K500" i="1"/>
  <c r="J500" i="1"/>
  <c r="K499" i="1"/>
  <c r="J499" i="1"/>
  <c r="K498" i="1"/>
  <c r="J498" i="1"/>
  <c r="K497" i="1"/>
  <c r="J497" i="1"/>
  <c r="K496" i="1"/>
  <c r="J496" i="1"/>
  <c r="K495" i="1"/>
  <c r="J495" i="1"/>
  <c r="K494" i="1"/>
  <c r="J494" i="1"/>
  <c r="K493" i="1"/>
  <c r="J493" i="1"/>
  <c r="K492" i="1"/>
  <c r="J492" i="1"/>
  <c r="K491" i="1"/>
  <c r="J491" i="1"/>
  <c r="K490" i="1"/>
  <c r="J490" i="1"/>
  <c r="K489" i="1"/>
  <c r="J489" i="1"/>
  <c r="K488" i="1"/>
  <c r="J488" i="1"/>
  <c r="K487" i="1"/>
  <c r="J487" i="1"/>
  <c r="K486" i="1"/>
  <c r="J486" i="1"/>
  <c r="K485" i="1"/>
  <c r="J485" i="1"/>
  <c r="K484" i="1"/>
  <c r="J484" i="1"/>
  <c r="K483" i="1"/>
  <c r="J483" i="1"/>
  <c r="K482" i="1"/>
  <c r="J482" i="1"/>
  <c r="K481" i="1"/>
  <c r="J481" i="1"/>
  <c r="K480" i="1"/>
  <c r="J480" i="1"/>
  <c r="K479" i="1"/>
  <c r="J479" i="1"/>
  <c r="K478" i="1"/>
  <c r="J478" i="1"/>
  <c r="K477" i="1"/>
  <c r="J477" i="1"/>
  <c r="K476" i="1"/>
  <c r="J476" i="1"/>
  <c r="K475" i="1"/>
  <c r="J475" i="1"/>
  <c r="K474" i="1"/>
  <c r="J474" i="1"/>
  <c r="K473" i="1"/>
  <c r="J473" i="1"/>
  <c r="K472" i="1"/>
  <c r="J472" i="1"/>
  <c r="K471" i="1"/>
  <c r="J471" i="1"/>
  <c r="K470" i="1"/>
  <c r="J470" i="1"/>
  <c r="K469" i="1"/>
  <c r="J469" i="1"/>
  <c r="K468" i="1"/>
  <c r="J468" i="1"/>
  <c r="K467" i="1"/>
  <c r="J467" i="1"/>
  <c r="K466" i="1"/>
  <c r="J466" i="1"/>
  <c r="K465" i="1"/>
  <c r="J465" i="1"/>
  <c r="K464" i="1"/>
  <c r="J464" i="1"/>
  <c r="K463" i="1"/>
  <c r="J463" i="1"/>
  <c r="K462" i="1"/>
  <c r="J462" i="1"/>
  <c r="K461" i="1"/>
  <c r="J461" i="1"/>
  <c r="K460" i="1"/>
  <c r="J460" i="1"/>
  <c r="K459" i="1"/>
  <c r="J459" i="1"/>
  <c r="K458" i="1"/>
  <c r="J458" i="1"/>
  <c r="K457" i="1"/>
  <c r="J457" i="1"/>
  <c r="K456" i="1"/>
  <c r="J456" i="1"/>
  <c r="K455" i="1"/>
  <c r="J455" i="1"/>
  <c r="K454" i="1"/>
  <c r="J454" i="1"/>
  <c r="K453" i="1"/>
  <c r="J453" i="1"/>
  <c r="K452" i="1"/>
  <c r="J452" i="1"/>
  <c r="K451" i="1"/>
  <c r="J451" i="1"/>
  <c r="K450" i="1"/>
  <c r="J450" i="1"/>
  <c r="K449" i="1"/>
  <c r="J449" i="1"/>
  <c r="K448" i="1"/>
  <c r="J448" i="1"/>
  <c r="K447" i="1"/>
  <c r="J447" i="1"/>
  <c r="K446" i="1"/>
  <c r="J446" i="1"/>
  <c r="K445" i="1"/>
  <c r="J445" i="1"/>
  <c r="K444" i="1"/>
  <c r="J444" i="1"/>
  <c r="K443" i="1"/>
  <c r="J443" i="1"/>
  <c r="K442" i="1"/>
  <c r="J442" i="1"/>
  <c r="K441" i="1"/>
  <c r="J441" i="1"/>
  <c r="K440" i="1"/>
  <c r="J440" i="1"/>
  <c r="K439" i="1"/>
  <c r="J439" i="1"/>
  <c r="K438" i="1"/>
  <c r="J438" i="1"/>
  <c r="K437" i="1"/>
  <c r="J437" i="1"/>
  <c r="K436" i="1"/>
  <c r="J436" i="1"/>
  <c r="K435" i="1"/>
  <c r="J435" i="1"/>
  <c r="K434" i="1"/>
  <c r="J434" i="1"/>
  <c r="K433" i="1"/>
  <c r="J433" i="1"/>
  <c r="K432" i="1"/>
  <c r="J432" i="1"/>
  <c r="K431" i="1"/>
  <c r="J431" i="1"/>
  <c r="K430" i="1"/>
  <c r="J430" i="1"/>
  <c r="K429" i="1"/>
  <c r="J429" i="1"/>
  <c r="K428" i="1"/>
  <c r="J428" i="1"/>
  <c r="K427" i="1"/>
  <c r="J427" i="1"/>
  <c r="K426" i="1"/>
  <c r="J426" i="1"/>
  <c r="K425" i="1"/>
  <c r="J425" i="1"/>
  <c r="K424" i="1"/>
  <c r="J424" i="1"/>
  <c r="K423" i="1"/>
  <c r="J423" i="1"/>
  <c r="K422" i="1"/>
  <c r="J422" i="1"/>
  <c r="K421" i="1"/>
  <c r="J421" i="1"/>
  <c r="K420" i="1"/>
  <c r="J420" i="1"/>
  <c r="K419" i="1"/>
  <c r="J419" i="1"/>
  <c r="K418" i="1"/>
  <c r="J418" i="1"/>
  <c r="K417" i="1"/>
  <c r="J417" i="1"/>
  <c r="K416" i="1"/>
  <c r="J416" i="1"/>
  <c r="K415" i="1"/>
  <c r="J415" i="1"/>
  <c r="K414" i="1"/>
  <c r="J414" i="1"/>
  <c r="K413" i="1"/>
  <c r="J413" i="1"/>
  <c r="K412" i="1"/>
  <c r="J412" i="1"/>
  <c r="K411" i="1"/>
  <c r="J411" i="1"/>
  <c r="K410" i="1"/>
  <c r="J410" i="1"/>
  <c r="K409" i="1"/>
  <c r="J409" i="1"/>
  <c r="K408" i="1"/>
  <c r="J408" i="1"/>
  <c r="K407" i="1"/>
  <c r="J407" i="1"/>
  <c r="K406" i="1"/>
  <c r="J406" i="1"/>
  <c r="K405" i="1"/>
  <c r="J405" i="1"/>
  <c r="K404" i="1"/>
  <c r="J404" i="1"/>
  <c r="K403" i="1"/>
  <c r="J403" i="1"/>
  <c r="K402" i="1"/>
  <c r="J402" i="1"/>
  <c r="K401" i="1"/>
  <c r="J401" i="1"/>
  <c r="K400" i="1"/>
  <c r="J400" i="1"/>
  <c r="K399" i="1"/>
  <c r="J399" i="1"/>
  <c r="K398" i="1"/>
  <c r="J398" i="1"/>
  <c r="K397" i="1"/>
  <c r="J397" i="1"/>
  <c r="K396" i="1"/>
  <c r="J396" i="1"/>
  <c r="K395" i="1"/>
  <c r="J395" i="1"/>
  <c r="K394" i="1"/>
  <c r="J394" i="1"/>
  <c r="K393" i="1"/>
  <c r="J393" i="1"/>
  <c r="K392" i="1"/>
  <c r="J392" i="1"/>
  <c r="K391" i="1"/>
  <c r="J391" i="1"/>
  <c r="K390" i="1"/>
  <c r="J390" i="1"/>
  <c r="K389" i="1"/>
  <c r="J389" i="1"/>
  <c r="K388" i="1"/>
  <c r="J388" i="1"/>
  <c r="K387" i="1"/>
  <c r="J387" i="1"/>
  <c r="K386" i="1"/>
  <c r="J386" i="1"/>
  <c r="K385" i="1"/>
  <c r="J385" i="1"/>
  <c r="K384" i="1"/>
  <c r="J384" i="1"/>
  <c r="K383" i="1"/>
  <c r="J383" i="1"/>
  <c r="K382" i="1"/>
  <c r="J382" i="1"/>
  <c r="K381" i="1"/>
  <c r="J381" i="1"/>
  <c r="K380" i="1"/>
  <c r="J380" i="1"/>
  <c r="K379" i="1"/>
  <c r="J379" i="1"/>
  <c r="K378" i="1"/>
  <c r="J378" i="1"/>
  <c r="K377" i="1"/>
  <c r="J377" i="1"/>
  <c r="K376" i="1"/>
  <c r="J376" i="1"/>
  <c r="K375" i="1"/>
  <c r="J375" i="1"/>
  <c r="K374" i="1"/>
  <c r="J374" i="1"/>
  <c r="K373" i="1"/>
  <c r="J373" i="1"/>
  <c r="K372" i="1"/>
  <c r="J372" i="1"/>
  <c r="K371" i="1"/>
  <c r="J371" i="1"/>
  <c r="K370" i="1"/>
  <c r="J370" i="1"/>
  <c r="K369" i="1"/>
  <c r="J369" i="1"/>
  <c r="K368" i="1"/>
  <c r="J368" i="1"/>
  <c r="K367" i="1"/>
  <c r="J367" i="1"/>
  <c r="K366" i="1"/>
  <c r="J366" i="1"/>
  <c r="K365" i="1"/>
  <c r="J365" i="1"/>
  <c r="K364" i="1"/>
  <c r="J364" i="1"/>
  <c r="K363" i="1"/>
  <c r="J363" i="1"/>
  <c r="K362" i="1"/>
  <c r="J362" i="1"/>
  <c r="K361" i="1"/>
  <c r="J361" i="1"/>
  <c r="K360" i="1"/>
  <c r="J360" i="1"/>
  <c r="K359" i="1"/>
  <c r="J359" i="1"/>
  <c r="K358" i="1"/>
  <c r="J358" i="1"/>
  <c r="K357" i="1"/>
  <c r="J357" i="1"/>
  <c r="K356" i="1"/>
  <c r="J356" i="1"/>
  <c r="K355" i="1"/>
  <c r="J355" i="1"/>
  <c r="K354" i="1"/>
  <c r="J354" i="1"/>
  <c r="K353" i="1"/>
  <c r="J353" i="1"/>
  <c r="K352" i="1"/>
  <c r="J352" i="1"/>
  <c r="K351" i="1"/>
  <c r="J351" i="1"/>
  <c r="K350" i="1"/>
  <c r="J350" i="1"/>
  <c r="K349" i="1"/>
  <c r="J349" i="1"/>
  <c r="K348" i="1"/>
  <c r="J348" i="1"/>
  <c r="K347" i="1"/>
  <c r="J347" i="1"/>
  <c r="K346" i="1"/>
  <c r="J346" i="1"/>
  <c r="K345" i="1"/>
  <c r="J345" i="1"/>
  <c r="K344" i="1"/>
  <c r="J344" i="1"/>
  <c r="K343" i="1"/>
  <c r="J343" i="1"/>
  <c r="K342" i="1"/>
  <c r="J342" i="1"/>
  <c r="K341" i="1"/>
  <c r="J341" i="1"/>
  <c r="K340" i="1"/>
  <c r="J340" i="1"/>
  <c r="K339" i="1"/>
  <c r="J339" i="1"/>
  <c r="K338" i="1"/>
  <c r="J338" i="1"/>
  <c r="K337" i="1"/>
  <c r="J337" i="1"/>
  <c r="K336" i="1"/>
  <c r="J336" i="1"/>
  <c r="K335" i="1"/>
  <c r="J335" i="1"/>
  <c r="K334" i="1"/>
  <c r="J334" i="1"/>
  <c r="K333" i="1"/>
  <c r="J333" i="1"/>
  <c r="K332" i="1"/>
  <c r="J332" i="1"/>
  <c r="K331" i="1"/>
  <c r="J331" i="1"/>
  <c r="K330" i="1"/>
  <c r="J330" i="1"/>
  <c r="K329" i="1"/>
  <c r="J329" i="1"/>
  <c r="K328" i="1"/>
  <c r="J328" i="1"/>
  <c r="K327" i="1"/>
  <c r="J327" i="1"/>
  <c r="K326" i="1"/>
  <c r="J326" i="1"/>
  <c r="K325" i="1"/>
  <c r="J325" i="1"/>
  <c r="K324" i="1"/>
  <c r="J324" i="1"/>
  <c r="K323" i="1"/>
  <c r="J323" i="1"/>
  <c r="K322" i="1"/>
  <c r="J322" i="1"/>
  <c r="K321" i="1"/>
  <c r="J321" i="1"/>
  <c r="K320" i="1"/>
  <c r="J320" i="1"/>
  <c r="K319" i="1"/>
  <c r="J319" i="1"/>
  <c r="K318" i="1"/>
  <c r="J318" i="1"/>
  <c r="K317" i="1"/>
  <c r="J317" i="1"/>
  <c r="K316" i="1"/>
  <c r="J316" i="1"/>
  <c r="K315" i="1"/>
  <c r="J315" i="1"/>
  <c r="K314" i="1"/>
  <c r="J314" i="1"/>
  <c r="K313" i="1"/>
  <c r="J313" i="1"/>
  <c r="K312" i="1"/>
  <c r="J312" i="1"/>
  <c r="K311" i="1"/>
  <c r="J311" i="1"/>
  <c r="K310" i="1"/>
  <c r="J310" i="1"/>
  <c r="K309" i="1"/>
  <c r="J309" i="1"/>
  <c r="K308" i="1"/>
  <c r="J308" i="1"/>
  <c r="K307" i="1"/>
  <c r="J307" i="1"/>
  <c r="K306" i="1"/>
  <c r="J306" i="1"/>
  <c r="K305" i="1"/>
  <c r="J305" i="1"/>
  <c r="K304" i="1"/>
  <c r="J304" i="1"/>
  <c r="K303" i="1"/>
  <c r="J303" i="1"/>
  <c r="K302" i="1"/>
  <c r="J302" i="1"/>
  <c r="K301" i="1"/>
  <c r="J301" i="1"/>
  <c r="K300" i="1"/>
  <c r="J300" i="1"/>
  <c r="K299" i="1"/>
  <c r="J299" i="1"/>
  <c r="K298" i="1"/>
  <c r="J298" i="1"/>
  <c r="K297" i="1"/>
  <c r="J297" i="1"/>
  <c r="K296" i="1"/>
  <c r="J296" i="1"/>
  <c r="K295" i="1"/>
  <c r="J295" i="1"/>
  <c r="K294" i="1"/>
  <c r="J294" i="1"/>
  <c r="K293" i="1"/>
  <c r="J293" i="1"/>
  <c r="K292" i="1"/>
  <c r="J292" i="1"/>
  <c r="K291" i="1"/>
  <c r="J291" i="1"/>
  <c r="K290" i="1"/>
  <c r="J290" i="1"/>
  <c r="K289" i="1"/>
  <c r="J289" i="1"/>
  <c r="K288" i="1"/>
  <c r="J288" i="1"/>
  <c r="K287" i="1"/>
  <c r="J287" i="1"/>
  <c r="K286" i="1"/>
  <c r="J286" i="1"/>
  <c r="K285" i="1"/>
  <c r="J285" i="1"/>
  <c r="K284" i="1"/>
  <c r="J284" i="1"/>
  <c r="K283" i="1"/>
  <c r="J283" i="1"/>
  <c r="K282" i="1"/>
  <c r="J282" i="1"/>
  <c r="K281" i="1"/>
  <c r="J281" i="1"/>
  <c r="K280" i="1"/>
  <c r="J280" i="1"/>
  <c r="K279" i="1"/>
  <c r="J279" i="1"/>
  <c r="K278" i="1"/>
  <c r="J278" i="1"/>
  <c r="K277" i="1"/>
  <c r="J277" i="1"/>
  <c r="K276" i="1"/>
  <c r="J276" i="1"/>
  <c r="K275" i="1"/>
  <c r="J275" i="1"/>
  <c r="K274" i="1"/>
  <c r="J274" i="1"/>
  <c r="K273" i="1"/>
  <c r="J273" i="1"/>
  <c r="K272" i="1"/>
  <c r="J272" i="1"/>
  <c r="K271" i="1"/>
  <c r="J271" i="1"/>
  <c r="K270" i="1"/>
  <c r="J270" i="1"/>
  <c r="K269" i="1"/>
  <c r="J269" i="1"/>
  <c r="K268" i="1"/>
  <c r="J268" i="1"/>
  <c r="K267" i="1"/>
  <c r="J267" i="1"/>
  <c r="K266" i="1"/>
  <c r="J266" i="1"/>
  <c r="K265" i="1"/>
  <c r="J265" i="1"/>
  <c r="K264" i="1"/>
  <c r="J264" i="1"/>
  <c r="K263" i="1"/>
  <c r="J263" i="1"/>
  <c r="K262" i="1"/>
  <c r="J262" i="1"/>
  <c r="K261" i="1"/>
  <c r="J261" i="1"/>
  <c r="K260" i="1"/>
  <c r="J260" i="1"/>
  <c r="K259" i="1"/>
  <c r="J259" i="1"/>
  <c r="K258" i="1"/>
  <c r="J258" i="1"/>
  <c r="K257" i="1"/>
  <c r="J257" i="1"/>
  <c r="K256" i="1"/>
  <c r="J256" i="1"/>
  <c r="K255" i="1"/>
  <c r="J255" i="1"/>
  <c r="K254" i="1"/>
  <c r="J254" i="1"/>
  <c r="K253" i="1"/>
  <c r="J253" i="1"/>
  <c r="K252" i="1"/>
  <c r="J252" i="1"/>
  <c r="K251" i="1"/>
  <c r="J251" i="1"/>
  <c r="K250" i="1"/>
  <c r="J250" i="1"/>
  <c r="K249" i="1"/>
  <c r="J249" i="1"/>
  <c r="K248" i="1"/>
  <c r="J248" i="1"/>
  <c r="K247" i="1"/>
  <c r="J247" i="1"/>
  <c r="K246" i="1"/>
  <c r="J246" i="1"/>
  <c r="K245" i="1"/>
  <c r="J245" i="1"/>
  <c r="K244" i="1"/>
  <c r="J244" i="1"/>
  <c r="K243" i="1"/>
  <c r="J243" i="1"/>
  <c r="K242" i="1"/>
  <c r="J242" i="1"/>
  <c r="K241" i="1"/>
  <c r="J241" i="1"/>
  <c r="K240" i="1"/>
  <c r="J240" i="1"/>
  <c r="K239" i="1"/>
  <c r="J239" i="1"/>
  <c r="K238" i="1"/>
  <c r="J238" i="1"/>
  <c r="K237" i="1"/>
  <c r="J237" i="1"/>
  <c r="K236" i="1"/>
  <c r="J236" i="1"/>
  <c r="K235" i="1"/>
  <c r="J235" i="1"/>
  <c r="K234" i="1"/>
  <c r="J234" i="1"/>
  <c r="K233" i="1"/>
  <c r="J233" i="1"/>
  <c r="K232" i="1"/>
  <c r="J232" i="1"/>
  <c r="K231" i="1"/>
  <c r="J231" i="1"/>
  <c r="K230" i="1"/>
  <c r="J230" i="1"/>
  <c r="K229" i="1"/>
  <c r="J229" i="1"/>
  <c r="K228" i="1"/>
  <c r="J228" i="1"/>
  <c r="K227" i="1"/>
  <c r="J227" i="1"/>
  <c r="K226" i="1"/>
  <c r="J226" i="1"/>
  <c r="K225" i="1"/>
  <c r="J225" i="1"/>
  <c r="K224" i="1"/>
  <c r="J224" i="1"/>
  <c r="K223" i="1"/>
  <c r="J223" i="1"/>
  <c r="K222" i="1"/>
  <c r="J222" i="1"/>
  <c r="K221" i="1"/>
  <c r="J221" i="1"/>
  <c r="K220" i="1"/>
  <c r="J220" i="1"/>
  <c r="K219" i="1"/>
  <c r="J219" i="1"/>
  <c r="K218" i="1"/>
  <c r="J218" i="1"/>
  <c r="K217" i="1"/>
  <c r="J217" i="1"/>
  <c r="K216" i="1"/>
  <c r="J216" i="1"/>
  <c r="K215" i="1"/>
  <c r="J215" i="1"/>
  <c r="K214" i="1"/>
  <c r="J214" i="1"/>
  <c r="K213" i="1"/>
  <c r="J213" i="1"/>
  <c r="K212" i="1"/>
  <c r="J212" i="1"/>
  <c r="K211" i="1"/>
  <c r="J211" i="1"/>
  <c r="K210" i="1"/>
  <c r="J210" i="1"/>
  <c r="K209" i="1"/>
  <c r="J209" i="1"/>
  <c r="K208" i="1"/>
  <c r="J208" i="1"/>
  <c r="K207" i="1"/>
  <c r="J207" i="1"/>
  <c r="K206" i="1"/>
  <c r="J206" i="1"/>
  <c r="K205" i="1"/>
  <c r="J205" i="1"/>
  <c r="K204" i="1"/>
  <c r="J204" i="1"/>
  <c r="K203" i="1"/>
  <c r="J203" i="1"/>
  <c r="K202" i="1"/>
  <c r="J202" i="1"/>
  <c r="K201" i="1"/>
  <c r="J201" i="1"/>
  <c r="K200" i="1"/>
  <c r="J200" i="1"/>
  <c r="K199" i="1"/>
  <c r="J199" i="1"/>
  <c r="K198" i="1"/>
  <c r="J198" i="1"/>
  <c r="K197" i="1"/>
  <c r="J197" i="1"/>
  <c r="K196" i="1"/>
  <c r="J196" i="1"/>
  <c r="K195" i="1"/>
  <c r="J195" i="1"/>
  <c r="K194" i="1"/>
  <c r="J194" i="1"/>
  <c r="K193" i="1"/>
  <c r="J193" i="1"/>
  <c r="K192" i="1"/>
  <c r="J192" i="1"/>
  <c r="K191" i="1"/>
  <c r="J191" i="1"/>
  <c r="K190" i="1"/>
  <c r="J190" i="1"/>
  <c r="K189" i="1"/>
  <c r="J189" i="1"/>
  <c r="K188" i="1"/>
  <c r="J188" i="1"/>
  <c r="K187" i="1"/>
  <c r="J187" i="1"/>
  <c r="K186" i="1"/>
  <c r="J186" i="1"/>
  <c r="K185" i="1"/>
  <c r="J185" i="1"/>
  <c r="K184" i="1"/>
  <c r="J184" i="1"/>
  <c r="K183" i="1"/>
  <c r="J183" i="1"/>
  <c r="K182" i="1"/>
  <c r="J182" i="1"/>
  <c r="K181" i="1"/>
  <c r="J181" i="1"/>
  <c r="K180" i="1"/>
  <c r="J180" i="1"/>
  <c r="K179" i="1"/>
  <c r="J179" i="1"/>
  <c r="K178" i="1"/>
  <c r="J178" i="1"/>
  <c r="K177" i="1"/>
  <c r="J177" i="1"/>
  <c r="K176" i="1"/>
  <c r="J176" i="1"/>
  <c r="K175" i="1"/>
  <c r="J175" i="1"/>
  <c r="K174" i="1"/>
  <c r="J174" i="1"/>
  <c r="K173" i="1"/>
  <c r="J173" i="1"/>
  <c r="K172" i="1"/>
  <c r="J172" i="1"/>
  <c r="K171" i="1"/>
  <c r="J171" i="1"/>
  <c r="K170" i="1"/>
  <c r="J170" i="1"/>
  <c r="K169" i="1"/>
  <c r="J169" i="1"/>
  <c r="K168" i="1"/>
  <c r="J168" i="1"/>
  <c r="K167" i="1"/>
  <c r="J167" i="1"/>
  <c r="K166" i="1"/>
  <c r="J166" i="1"/>
  <c r="K165" i="1"/>
  <c r="J165" i="1"/>
  <c r="K164" i="1"/>
  <c r="J164" i="1"/>
  <c r="K163" i="1"/>
  <c r="J163" i="1"/>
  <c r="K162" i="1"/>
  <c r="J162" i="1"/>
  <c r="K161" i="1"/>
  <c r="J161" i="1"/>
  <c r="K160" i="1"/>
  <c r="J160" i="1"/>
  <c r="K159" i="1"/>
  <c r="J159" i="1"/>
  <c r="K158" i="1"/>
  <c r="J158" i="1"/>
  <c r="K157" i="1"/>
  <c r="J157" i="1"/>
  <c r="K156" i="1"/>
  <c r="J156" i="1"/>
  <c r="K155" i="1"/>
  <c r="J155" i="1"/>
  <c r="K154" i="1"/>
  <c r="J154" i="1"/>
  <c r="K153" i="1"/>
  <c r="J153" i="1"/>
  <c r="K152" i="1"/>
  <c r="J152" i="1"/>
  <c r="K151" i="1"/>
  <c r="J151" i="1"/>
  <c r="K150" i="1"/>
  <c r="J150" i="1"/>
  <c r="K149" i="1"/>
  <c r="J149" i="1"/>
  <c r="K148" i="1"/>
  <c r="J148" i="1"/>
  <c r="K147" i="1"/>
  <c r="J147" i="1"/>
  <c r="K146" i="1"/>
  <c r="J146" i="1"/>
  <c r="K145" i="1"/>
  <c r="J145" i="1"/>
  <c r="K144" i="1"/>
  <c r="J144" i="1"/>
  <c r="K143" i="1"/>
  <c r="J143" i="1"/>
  <c r="K142" i="1"/>
  <c r="J142" i="1"/>
  <c r="K141" i="1"/>
  <c r="J141" i="1"/>
  <c r="K140" i="1"/>
  <c r="J140" i="1"/>
  <c r="K139" i="1"/>
  <c r="J139" i="1"/>
  <c r="K138" i="1"/>
  <c r="J138" i="1"/>
  <c r="K137" i="1"/>
  <c r="J137" i="1"/>
  <c r="K136" i="1"/>
  <c r="J136" i="1"/>
  <c r="K135" i="1"/>
  <c r="J135" i="1"/>
  <c r="K134" i="1"/>
  <c r="J134" i="1"/>
  <c r="K133" i="1"/>
  <c r="J133" i="1"/>
  <c r="K132" i="1"/>
  <c r="J132" i="1"/>
  <c r="K131" i="1"/>
  <c r="J131" i="1"/>
  <c r="K130" i="1"/>
  <c r="J130" i="1"/>
  <c r="K129" i="1"/>
  <c r="J129" i="1"/>
  <c r="K128" i="1"/>
  <c r="J128" i="1"/>
  <c r="K127" i="1"/>
  <c r="J127" i="1"/>
  <c r="K126" i="1"/>
  <c r="J126" i="1"/>
  <c r="K125" i="1"/>
  <c r="J125" i="1"/>
  <c r="K124" i="1"/>
  <c r="J124" i="1"/>
  <c r="K123" i="1"/>
  <c r="J123" i="1"/>
  <c r="K122" i="1"/>
  <c r="J122" i="1"/>
  <c r="K121" i="1"/>
  <c r="J121" i="1"/>
  <c r="K120" i="1"/>
  <c r="J120" i="1"/>
  <c r="K119" i="1"/>
  <c r="J119" i="1"/>
  <c r="K118" i="1"/>
  <c r="J118" i="1"/>
  <c r="K117" i="1"/>
  <c r="J117" i="1"/>
  <c r="K116" i="1"/>
  <c r="J116" i="1"/>
  <c r="K115" i="1"/>
  <c r="J115" i="1"/>
  <c r="K114" i="1"/>
  <c r="J114" i="1"/>
  <c r="K113" i="1"/>
  <c r="J113" i="1"/>
  <c r="K112" i="1"/>
  <c r="J112" i="1"/>
  <c r="K111" i="1"/>
  <c r="J111" i="1"/>
  <c r="K110" i="1"/>
  <c r="J110" i="1"/>
  <c r="K109" i="1"/>
  <c r="J109" i="1"/>
  <c r="K108" i="1"/>
  <c r="J108" i="1"/>
  <c r="K107" i="1"/>
  <c r="J107" i="1"/>
  <c r="K106" i="1"/>
  <c r="J106" i="1"/>
  <c r="K105" i="1"/>
  <c r="J105" i="1"/>
  <c r="K104" i="1"/>
  <c r="J104" i="1"/>
  <c r="K103" i="1"/>
  <c r="J103" i="1"/>
  <c r="K102" i="1"/>
  <c r="J102" i="1"/>
  <c r="K101" i="1"/>
  <c r="J101" i="1"/>
  <c r="K100" i="1"/>
  <c r="J100" i="1"/>
  <c r="K99" i="1"/>
  <c r="J99" i="1"/>
  <c r="K98" i="1"/>
  <c r="J98" i="1"/>
  <c r="K97" i="1"/>
  <c r="J97" i="1"/>
  <c r="K96" i="1"/>
  <c r="J96" i="1"/>
  <c r="K95" i="1"/>
  <c r="J95" i="1"/>
  <c r="K94" i="1"/>
  <c r="J94" i="1"/>
  <c r="K93" i="1"/>
  <c r="J93" i="1"/>
  <c r="K92" i="1"/>
  <c r="J92" i="1"/>
  <c r="K91" i="1"/>
  <c r="J91" i="1"/>
  <c r="K90" i="1"/>
  <c r="J90" i="1"/>
  <c r="K89" i="1"/>
  <c r="J89" i="1"/>
  <c r="K88" i="1"/>
  <c r="J88" i="1"/>
  <c r="K87" i="1"/>
  <c r="J87" i="1"/>
  <c r="K86" i="1"/>
  <c r="J86" i="1"/>
  <c r="K85" i="1"/>
  <c r="J85" i="1"/>
  <c r="K84" i="1"/>
  <c r="J84" i="1"/>
  <c r="K83" i="1"/>
  <c r="J83" i="1"/>
  <c r="K82" i="1"/>
  <c r="J82" i="1"/>
  <c r="K81" i="1"/>
  <c r="J81" i="1"/>
  <c r="K80" i="1"/>
  <c r="J80" i="1"/>
  <c r="K79" i="1"/>
  <c r="J79" i="1"/>
  <c r="K78" i="1"/>
  <c r="J78" i="1"/>
  <c r="K77" i="1"/>
  <c r="J77" i="1"/>
  <c r="K76" i="1"/>
  <c r="J76" i="1"/>
  <c r="K75" i="1"/>
  <c r="J75" i="1"/>
  <c r="K74" i="1"/>
  <c r="J74" i="1"/>
  <c r="K73" i="1"/>
  <c r="J73" i="1"/>
  <c r="K72" i="1"/>
  <c r="J72" i="1"/>
  <c r="K71" i="1"/>
  <c r="J71" i="1"/>
  <c r="K70" i="1"/>
  <c r="J70" i="1"/>
  <c r="K69" i="1"/>
  <c r="J69" i="1"/>
  <c r="K68" i="1"/>
  <c r="J68" i="1"/>
  <c r="K67" i="1"/>
  <c r="J67" i="1"/>
  <c r="K66" i="1"/>
  <c r="J66" i="1"/>
  <c r="K65" i="1"/>
  <c r="J65" i="1"/>
  <c r="K64" i="1"/>
  <c r="J64" i="1"/>
  <c r="K63" i="1"/>
  <c r="J63" i="1"/>
  <c r="K62" i="1"/>
  <c r="J62" i="1"/>
  <c r="K61" i="1"/>
  <c r="J61" i="1"/>
  <c r="K60" i="1"/>
  <c r="J60" i="1"/>
  <c r="K59" i="1"/>
  <c r="J59" i="1"/>
  <c r="K58" i="1"/>
  <c r="J58" i="1"/>
  <c r="K57" i="1"/>
  <c r="J57" i="1"/>
  <c r="K56" i="1"/>
  <c r="J56" i="1"/>
  <c r="K55" i="1"/>
  <c r="J55" i="1"/>
  <c r="K54" i="1"/>
  <c r="J54" i="1"/>
  <c r="K53" i="1"/>
  <c r="J53" i="1"/>
  <c r="K52" i="1"/>
  <c r="J52" i="1"/>
  <c r="K51" i="1"/>
  <c r="J51" i="1"/>
  <c r="K50" i="1"/>
  <c r="J50" i="1"/>
  <c r="K49" i="1"/>
  <c r="J49" i="1"/>
  <c r="K48" i="1"/>
  <c r="J48" i="1"/>
  <c r="K47" i="1"/>
  <c r="J47" i="1"/>
  <c r="K46" i="1"/>
  <c r="J46" i="1"/>
  <c r="K45" i="1"/>
  <c r="J45" i="1"/>
  <c r="K44" i="1"/>
  <c r="J44" i="1"/>
  <c r="K43" i="1"/>
  <c r="J43" i="1"/>
  <c r="K42" i="1"/>
  <c r="J42" i="1"/>
  <c r="K41" i="1"/>
  <c r="J41" i="1"/>
  <c r="K40" i="1"/>
  <c r="J40" i="1"/>
  <c r="K39" i="1"/>
  <c r="J39" i="1"/>
  <c r="K38" i="1"/>
  <c r="J38" i="1"/>
  <c r="K37" i="1"/>
  <c r="J37" i="1"/>
  <c r="K36" i="1"/>
  <c r="J36" i="1"/>
  <c r="K35" i="1"/>
  <c r="J35" i="1"/>
  <c r="K34" i="1"/>
  <c r="J34" i="1"/>
  <c r="K33" i="1"/>
  <c r="J33" i="1"/>
  <c r="K32" i="1"/>
  <c r="J32" i="1"/>
  <c r="K31" i="1"/>
  <c r="J31" i="1"/>
  <c r="K30" i="1"/>
  <c r="J30" i="1"/>
  <c r="K29" i="1"/>
  <c r="J29" i="1"/>
  <c r="K28" i="1"/>
  <c r="J28" i="1"/>
  <c r="K27" i="1"/>
  <c r="J27" i="1"/>
  <c r="K26" i="1"/>
  <c r="J26" i="1"/>
  <c r="K25" i="1"/>
  <c r="J25" i="1"/>
  <c r="K24" i="1"/>
  <c r="J24" i="1"/>
  <c r="K23" i="1"/>
  <c r="J23" i="1"/>
  <c r="K22" i="1"/>
  <c r="J22" i="1"/>
  <c r="K21" i="1"/>
  <c r="J21" i="1"/>
  <c r="K20" i="1"/>
  <c r="J20" i="1"/>
  <c r="K19" i="1"/>
  <c r="J19" i="1"/>
  <c r="K18" i="1"/>
  <c r="J18" i="1"/>
  <c r="K17" i="1"/>
  <c r="J17" i="1"/>
  <c r="K16" i="1"/>
  <c r="J16" i="1"/>
  <c r="K15" i="1"/>
  <c r="J15" i="1"/>
  <c r="K14" i="1"/>
  <c r="J14" i="1"/>
  <c r="K13" i="1"/>
  <c r="J13" i="1"/>
  <c r="K12" i="1"/>
  <c r="J12" i="1"/>
  <c r="K11" i="1"/>
  <c r="J11" i="1"/>
  <c r="K10" i="1"/>
  <c r="J10" i="1"/>
  <c r="K9" i="1"/>
  <c r="J9" i="1"/>
  <c r="K8" i="1"/>
  <c r="J8" i="1"/>
  <c r="K7" i="1"/>
  <c r="J7" i="1"/>
  <c r="K6" i="1"/>
  <c r="J6" i="1"/>
  <c r="K5" i="1"/>
  <c r="J5" i="1"/>
</calcChain>
</file>

<file path=xl/sharedStrings.xml><?xml version="1.0" encoding="utf-8"?>
<sst xmlns="http://schemas.openxmlformats.org/spreadsheetml/2006/main" count="5518" uniqueCount="964">
  <si>
    <t>Historical Batch Data (24 Months) – Expanded Synthetic Dataset</t>
  </si>
  <si>
    <t>600 synthetic historical batches with repeated Material/Site history, point-in-time QC backlog, and date-based rolling OOS features.</t>
  </si>
  <si>
    <t>Batch ID</t>
  </si>
  <si>
    <t>Material</t>
  </si>
  <si>
    <t>Supplier Number</t>
  </si>
  <si>
    <t>Supplier Name</t>
  </si>
  <si>
    <t>CMO Site</t>
  </si>
  <si>
    <t>Prediction / Start Date</t>
  </si>
  <si>
    <t>QC Backlog at Start</t>
  </si>
  <si>
    <t>Planned Release Date</t>
  </si>
  <si>
    <t>Actual Release Date</t>
  </si>
  <si>
    <t>Recent OOS Count - Prior 90 Days</t>
  </si>
  <si>
    <t>Number of OOS Events (Batch)</t>
  </si>
  <si>
    <t>Number of Deviations</t>
  </si>
  <si>
    <t>QC Sample Count</t>
  </si>
  <si>
    <t>Testing Type / Complexity</t>
  </si>
  <si>
    <t>B-4533</t>
  </si>
  <si>
    <t>110027379</t>
  </si>
  <si>
    <t>1083382</t>
  </si>
  <si>
    <t>ApexNova Pharma</t>
  </si>
  <si>
    <t>SSEC</t>
  </si>
  <si>
    <t>Standard / Low</t>
  </si>
  <si>
    <t>B-5022</t>
  </si>
  <si>
    <t>110032050</t>
  </si>
  <si>
    <t>1077103</t>
  </si>
  <si>
    <t>Evergreen BioWorks</t>
  </si>
  <si>
    <t>SDEB</t>
  </si>
  <si>
    <t>Stability / High</t>
  </si>
  <si>
    <t>B-4768</t>
  </si>
  <si>
    <t>110028927</t>
  </si>
  <si>
    <t>SKRB</t>
  </si>
  <si>
    <t>B-4631</t>
  </si>
  <si>
    <t>100011307</t>
  </si>
  <si>
    <t>1088815</t>
  </si>
  <si>
    <t>SUSB</t>
  </si>
  <si>
    <t>Sterility / High</t>
  </si>
  <si>
    <t>B-5120</t>
  </si>
  <si>
    <t>110025553</t>
  </si>
  <si>
    <t>1083989</t>
  </si>
  <si>
    <t>VertexHill Biotech</t>
  </si>
  <si>
    <t>Standard / Medium</t>
  </si>
  <si>
    <t>B-4983</t>
  </si>
  <si>
    <t>110041752</t>
  </si>
  <si>
    <t>SCNC</t>
  </si>
  <si>
    <t>Identity &amp; Purity / Medium</t>
  </si>
  <si>
    <t>B-4729</t>
  </si>
  <si>
    <t>110028926</t>
  </si>
  <si>
    <t>Extended / Medium</t>
  </si>
  <si>
    <t>B-4592</t>
  </si>
  <si>
    <t>110022873</t>
  </si>
  <si>
    <t>B-5081</t>
  </si>
  <si>
    <t>110025554</t>
  </si>
  <si>
    <t>B-4944</t>
  </si>
  <si>
    <t>110041756</t>
  </si>
  <si>
    <t>B-4690</t>
  </si>
  <si>
    <t>110024421</t>
  </si>
  <si>
    <t>B-4553</t>
  </si>
  <si>
    <t>110036099</t>
  </si>
  <si>
    <t>B-5042</t>
  </si>
  <si>
    <t>110032046</t>
  </si>
  <si>
    <t>SUSC</t>
  </si>
  <si>
    <t>B-4905</t>
  </si>
  <si>
    <t>310173030</t>
  </si>
  <si>
    <t>B-4651</t>
  </si>
  <si>
    <t>110038643</t>
  </si>
  <si>
    <t>B-5003</t>
  </si>
  <si>
    <t>110036560</t>
  </si>
  <si>
    <t>B-4866</t>
  </si>
  <si>
    <t>310461150</t>
  </si>
  <si>
    <t>B-4612</t>
  </si>
  <si>
    <t>110025983</t>
  </si>
  <si>
    <t>1086308</t>
  </si>
  <si>
    <t>HelixBridge Laboratories</t>
  </si>
  <si>
    <t>B-4964</t>
  </si>
  <si>
    <t>8005032</t>
  </si>
  <si>
    <t>1076381</t>
  </si>
  <si>
    <t>B-4827</t>
  </si>
  <si>
    <t>100012361</t>
  </si>
  <si>
    <t>B-4925</t>
  </si>
  <si>
    <t>110024798</t>
  </si>
  <si>
    <t>B-4788</t>
  </si>
  <si>
    <t>110025727</t>
  </si>
  <si>
    <t>B-4886</t>
  </si>
  <si>
    <t>110025083</t>
  </si>
  <si>
    <t>B-4749</t>
  </si>
  <si>
    <t>110034865</t>
  </si>
  <si>
    <t>B-5101</t>
  </si>
  <si>
    <t>110024083</t>
  </si>
  <si>
    <t>B-4847</t>
  </si>
  <si>
    <t>110036599</t>
  </si>
  <si>
    <t>B-4710</t>
  </si>
  <si>
    <t>110037819</t>
  </si>
  <si>
    <t>B-4573</t>
  </si>
  <si>
    <t>B-5062</t>
  </si>
  <si>
    <t>B-4808</t>
  </si>
  <si>
    <t>B-4671</t>
  </si>
  <si>
    <t>B-4534</t>
  </si>
  <si>
    <t>110037875</t>
  </si>
  <si>
    <t>B-5023</t>
  </si>
  <si>
    <t>B-4769</t>
  </si>
  <si>
    <t>B-4632</t>
  </si>
  <si>
    <t>B-5121</t>
  </si>
  <si>
    <t>B-4984</t>
  </si>
  <si>
    <t>B-4730</t>
  </si>
  <si>
    <t>B-4593</t>
  </si>
  <si>
    <t>B-5082</t>
  </si>
  <si>
    <t>B-4945</t>
  </si>
  <si>
    <t>B-4691</t>
  </si>
  <si>
    <t>B-4554</t>
  </si>
  <si>
    <t>110036101</t>
  </si>
  <si>
    <t>B-5043</t>
  </si>
  <si>
    <t>B-4906</t>
  </si>
  <si>
    <t>B-4652</t>
  </si>
  <si>
    <t>B-5004</t>
  </si>
  <si>
    <t>B-4867</t>
  </si>
  <si>
    <t>B-4965</t>
  </si>
  <si>
    <t>B-4828</t>
  </si>
  <si>
    <t>B-4926</t>
  </si>
  <si>
    <t>B-4789</t>
  </si>
  <si>
    <t>B-4887</t>
  </si>
  <si>
    <t>B-4750</t>
  </si>
  <si>
    <t>B-4613</t>
  </si>
  <si>
    <t>B-5102</t>
  </si>
  <si>
    <t>B-4848</t>
  </si>
  <si>
    <t>B-4711</t>
  </si>
  <si>
    <t>B-4574</t>
  </si>
  <si>
    <t>B-5063</t>
  </si>
  <si>
    <t>B-4809</t>
  </si>
  <si>
    <t>B-4672</t>
  </si>
  <si>
    <t>B-4535</t>
  </si>
  <si>
    <t>110024094</t>
  </si>
  <si>
    <t>B-5024</t>
  </si>
  <si>
    <t>B-4770</t>
  </si>
  <si>
    <t>B-4633</t>
  </si>
  <si>
    <t>B-5122</t>
  </si>
  <si>
    <t>B-4985</t>
  </si>
  <si>
    <t>B-4731</t>
  </si>
  <si>
    <t>B-4594</t>
  </si>
  <si>
    <t>B-5083</t>
  </si>
  <si>
    <t>B-4946</t>
  </si>
  <si>
    <t>B-4692</t>
  </si>
  <si>
    <t>B-4555</t>
  </si>
  <si>
    <t>110025718</t>
  </si>
  <si>
    <t>B-5044</t>
  </si>
  <si>
    <t>B-4907</t>
  </si>
  <si>
    <t>B-5005</t>
  </si>
  <si>
    <t>B-4868</t>
  </si>
  <si>
    <t>B-4966</t>
  </si>
  <si>
    <t>B-4829</t>
  </si>
  <si>
    <t>B-4927</t>
  </si>
  <si>
    <t>B-4790</t>
  </si>
  <si>
    <t>B-4653</t>
  </si>
  <si>
    <t>B-4888</t>
  </si>
  <si>
    <t>B-4751</t>
  </si>
  <si>
    <t>B-4614</t>
  </si>
  <si>
    <t>B-5103</t>
  </si>
  <si>
    <t>B-4849</t>
  </si>
  <si>
    <t>B-4712</t>
  </si>
  <si>
    <t>B-4575</t>
  </si>
  <si>
    <t>B-5064</t>
  </si>
  <si>
    <t>B-4810</t>
  </si>
  <si>
    <t>B-4673</t>
  </si>
  <si>
    <t>B-4536</t>
  </si>
  <si>
    <t>110024109</t>
  </si>
  <si>
    <t>B-5025</t>
  </si>
  <si>
    <t>B-4771</t>
  </si>
  <si>
    <t>B-4634</t>
  </si>
  <si>
    <t>B-5123</t>
  </si>
  <si>
    <t>B-4986</t>
  </si>
  <si>
    <t>B-4732</t>
  </si>
  <si>
    <t>B-4595</t>
  </si>
  <si>
    <t>B-5084</t>
  </si>
  <si>
    <t>B-4947</t>
  </si>
  <si>
    <t>B-4556</t>
  </si>
  <si>
    <t>110030321</t>
  </si>
  <si>
    <t>B-5045</t>
  </si>
  <si>
    <t>B-4908</t>
  </si>
  <si>
    <t>B-5006</t>
  </si>
  <si>
    <t>B-4869</t>
  </si>
  <si>
    <t>B-4967</t>
  </si>
  <si>
    <t>B-4830</t>
  </si>
  <si>
    <t>B-4693</t>
  </si>
  <si>
    <t>B-4928</t>
  </si>
  <si>
    <t>B-4791</t>
  </si>
  <si>
    <t>B-4654</t>
  </si>
  <si>
    <t>B-4889</t>
  </si>
  <si>
    <t>B-4752</t>
  </si>
  <si>
    <t>B-4615</t>
  </si>
  <si>
    <t>B-5104</t>
  </si>
  <si>
    <t>B-4850</t>
  </si>
  <si>
    <t>B-4713</t>
  </si>
  <si>
    <t>B-4576</t>
  </si>
  <si>
    <t>B-5065</t>
  </si>
  <si>
    <t>B-4811</t>
  </si>
  <si>
    <t>B-4674</t>
  </si>
  <si>
    <t>B-4537</t>
  </si>
  <si>
    <t>110025728</t>
  </si>
  <si>
    <t>B-5026</t>
  </si>
  <si>
    <t>B-4772</t>
  </si>
  <si>
    <t>B-4635</t>
  </si>
  <si>
    <t>B-5124</t>
  </si>
  <si>
    <t>B-4987</t>
  </si>
  <si>
    <t>B-4596</t>
  </si>
  <si>
    <t>B-5085</t>
  </si>
  <si>
    <t>B-4948</t>
  </si>
  <si>
    <t>B-4557</t>
  </si>
  <si>
    <t>110024120</t>
  </si>
  <si>
    <t>B-5046</t>
  </si>
  <si>
    <t>B-4909</t>
  </si>
  <si>
    <t>B-5007</t>
  </si>
  <si>
    <t>B-4870</t>
  </si>
  <si>
    <t>B-4733</t>
  </si>
  <si>
    <t>B-4968</t>
  </si>
  <si>
    <t>B-4831</t>
  </si>
  <si>
    <t>B-4694</t>
  </si>
  <si>
    <t>B-4929</t>
  </si>
  <si>
    <t>B-4792</t>
  </si>
  <si>
    <t>B-4655</t>
  </si>
  <si>
    <t>B-4890</t>
  </si>
  <si>
    <t>B-4753</t>
  </si>
  <si>
    <t>B-4616</t>
  </si>
  <si>
    <t>B-5105</t>
  </si>
  <si>
    <t>B-4851</t>
  </si>
  <si>
    <t>B-4714</t>
  </si>
  <si>
    <t>B-4577</t>
  </si>
  <si>
    <t>B-5066</t>
  </si>
  <si>
    <t>B-4812</t>
  </si>
  <si>
    <t>B-4675</t>
  </si>
  <si>
    <t>B-4538</t>
  </si>
  <si>
    <t>110020998</t>
  </si>
  <si>
    <t>B-5027</t>
  </si>
  <si>
    <t>B-4636</t>
  </si>
  <si>
    <t>B-5125</t>
  </si>
  <si>
    <t>B-4988</t>
  </si>
  <si>
    <t>B-4597</t>
  </si>
  <si>
    <t>B-5086</t>
  </si>
  <si>
    <t>B-4949</t>
  </si>
  <si>
    <t>B-4558</t>
  </si>
  <si>
    <t>110029756</t>
  </si>
  <si>
    <t>1076355</t>
  </si>
  <si>
    <t>BluePeak Life Sciences</t>
  </si>
  <si>
    <t>B-5047</t>
  </si>
  <si>
    <t>B-4910</t>
  </si>
  <si>
    <t>B-4773</t>
  </si>
  <si>
    <t>B-5008</t>
  </si>
  <si>
    <t>B-4871</t>
  </si>
  <si>
    <t>B-4734</t>
  </si>
  <si>
    <t>B-4969</t>
  </si>
  <si>
    <t>B-4832</t>
  </si>
  <si>
    <t>B-4695</t>
  </si>
  <si>
    <t>B-4930</t>
  </si>
  <si>
    <t>B-4793</t>
  </si>
  <si>
    <t>B-4656</t>
  </si>
  <si>
    <t>B-4891</t>
  </si>
  <si>
    <t>B-4754</t>
  </si>
  <si>
    <t>B-4617</t>
  </si>
  <si>
    <t>B-5106</t>
  </si>
  <si>
    <t>B-4852</t>
  </si>
  <si>
    <t>B-4715</t>
  </si>
  <si>
    <t>B-4578</t>
  </si>
  <si>
    <t>B-5067</t>
  </si>
  <si>
    <t>B-4676</t>
  </si>
  <si>
    <t>B-4539</t>
  </si>
  <si>
    <t>110022129</t>
  </si>
  <si>
    <t>B-5028</t>
  </si>
  <si>
    <t>B-4637</t>
  </si>
  <si>
    <t>B-5126</t>
  </si>
  <si>
    <t>B-4989</t>
  </si>
  <si>
    <t>B-4598</t>
  </si>
  <si>
    <t>B-5087</t>
  </si>
  <si>
    <t>B-4950</t>
  </si>
  <si>
    <t>B-4813</t>
  </si>
  <si>
    <t>B-4559</t>
  </si>
  <si>
    <t>110032049</t>
  </si>
  <si>
    <t>B-5048</t>
  </si>
  <si>
    <t>B-4911</t>
  </si>
  <si>
    <t>B-4774</t>
  </si>
  <si>
    <t>B-5009</t>
  </si>
  <si>
    <t>B-4872</t>
  </si>
  <si>
    <t>B-4735</t>
  </si>
  <si>
    <t>B-4970</t>
  </si>
  <si>
    <t>B-4833</t>
  </si>
  <si>
    <t>B-4696</t>
  </si>
  <si>
    <t>B-4931</t>
  </si>
  <si>
    <t>B-4794</t>
  </si>
  <si>
    <t>B-4657</t>
  </si>
  <si>
    <t>B-4892</t>
  </si>
  <si>
    <t>B-4755</t>
  </si>
  <si>
    <t>B-4618</t>
  </si>
  <si>
    <t>B-5107</t>
  </si>
  <si>
    <t>B-4716</t>
  </si>
  <si>
    <t>B-4579</t>
  </si>
  <si>
    <t>B-5068</t>
  </si>
  <si>
    <t>B-4677</t>
  </si>
  <si>
    <t>B-4540</t>
  </si>
  <si>
    <t>100011556</t>
  </si>
  <si>
    <t>B-5029</t>
  </si>
  <si>
    <t>B-4638</t>
  </si>
  <si>
    <t>B-5127</t>
  </si>
  <si>
    <t>B-4990</t>
  </si>
  <si>
    <t>B-4853</t>
  </si>
  <si>
    <t>B-4599</t>
  </si>
  <si>
    <t>B-5088</t>
  </si>
  <si>
    <t>B-4951</t>
  </si>
  <si>
    <t>B-4814</t>
  </si>
  <si>
    <t>B-4560</t>
  </si>
  <si>
    <t>B-5049</t>
  </si>
  <si>
    <t>B-4912</t>
  </si>
  <si>
    <t>B-4775</t>
  </si>
  <si>
    <t>B-5010</t>
  </si>
  <si>
    <t>B-4873</t>
  </si>
  <si>
    <t>B-4736</t>
  </si>
  <si>
    <t>B-4971</t>
  </si>
  <si>
    <t>B-4834</t>
  </si>
  <si>
    <t>B-4697</t>
  </si>
  <si>
    <t>B-4932</t>
  </si>
  <si>
    <t>B-4795</t>
  </si>
  <si>
    <t>B-4658</t>
  </si>
  <si>
    <t>B-4756</t>
  </si>
  <si>
    <t>B-4619</t>
  </si>
  <si>
    <t>B-5108</t>
  </si>
  <si>
    <t>B-4717</t>
  </si>
  <si>
    <t>B-4580</t>
  </si>
  <si>
    <t>B-5069</t>
  </si>
  <si>
    <t>B-4678</t>
  </si>
  <si>
    <t>B-4541</t>
  </si>
  <si>
    <t>B-5030</t>
  </si>
  <si>
    <t>B-4893</t>
  </si>
  <si>
    <t>B-4639</t>
  </si>
  <si>
    <t>B-5128</t>
  </si>
  <si>
    <t>B-4991</t>
  </si>
  <si>
    <t>B-4854</t>
  </si>
  <si>
    <t>B-4600</t>
  </si>
  <si>
    <t>B-5089</t>
  </si>
  <si>
    <t>B-4952</t>
  </si>
  <si>
    <t>B-4815</t>
  </si>
  <si>
    <t>B-4561</t>
  </si>
  <si>
    <t>B-5050</t>
  </si>
  <si>
    <t>B-4913</t>
  </si>
  <si>
    <t>B-4776</t>
  </si>
  <si>
    <t>B-5011</t>
  </si>
  <si>
    <t>B-4874</t>
  </si>
  <si>
    <t>B-4737</t>
  </si>
  <si>
    <t>B-4972</t>
  </si>
  <si>
    <t>B-4835</t>
  </si>
  <si>
    <t>B-4698</t>
  </si>
  <si>
    <t>B-4796</t>
  </si>
  <si>
    <t>B-4659</t>
  </si>
  <si>
    <t>B-4757</t>
  </si>
  <si>
    <t>B-4620</t>
  </si>
  <si>
    <t>B-5109</t>
  </si>
  <si>
    <t>B-4718</t>
  </si>
  <si>
    <t>B-4581</t>
  </si>
  <si>
    <t>B-5070</t>
  </si>
  <si>
    <t>B-4933</t>
  </si>
  <si>
    <t>B-4679</t>
  </si>
  <si>
    <t>B-4542</t>
  </si>
  <si>
    <t>B-5031</t>
  </si>
  <si>
    <t>B-4894</t>
  </si>
  <si>
    <t>B-4640</t>
  </si>
  <si>
    <t>B-5129</t>
  </si>
  <si>
    <t>B-4992</t>
  </si>
  <si>
    <t>B-4855</t>
  </si>
  <si>
    <t>B-4601</t>
  </si>
  <si>
    <t>B-5090</t>
  </si>
  <si>
    <t>B-4953</t>
  </si>
  <si>
    <t>B-4816</t>
  </si>
  <si>
    <t>B-4562</t>
  </si>
  <si>
    <t>B-5051</t>
  </si>
  <si>
    <t>B-4914</t>
  </si>
  <si>
    <t>B-4777</t>
  </si>
  <si>
    <t>B-5012</t>
  </si>
  <si>
    <t>B-4875</t>
  </si>
  <si>
    <t>B-4738</t>
  </si>
  <si>
    <t>B-4836</t>
  </si>
  <si>
    <t>B-4699</t>
  </si>
  <si>
    <t>B-4797</t>
  </si>
  <si>
    <t>B-4660</t>
  </si>
  <si>
    <t>B-4758</t>
  </si>
  <si>
    <t>B-4621</t>
  </si>
  <si>
    <t>B-5110</t>
  </si>
  <si>
    <t>B-4973</t>
  </si>
  <si>
    <t>B-4719</t>
  </si>
  <si>
    <t>B-4582</t>
  </si>
  <si>
    <t>B-5071</t>
  </si>
  <si>
    <t>B-4934</t>
  </si>
  <si>
    <t>B-4680</t>
  </si>
  <si>
    <t>B-4543</t>
  </si>
  <si>
    <t>B-5032</t>
  </si>
  <si>
    <t>B-4895</t>
  </si>
  <si>
    <t>B-4641</t>
  </si>
  <si>
    <t>B-5130</t>
  </si>
  <si>
    <t>B-4993</t>
  </si>
  <si>
    <t>B-4856</t>
  </si>
  <si>
    <t>B-4602</t>
  </si>
  <si>
    <t>B-5091</t>
  </si>
  <si>
    <t>B-4954</t>
  </si>
  <si>
    <t>B-4817</t>
  </si>
  <si>
    <t>B-4563</t>
  </si>
  <si>
    <t>B-5052</t>
  </si>
  <si>
    <t>B-4915</t>
  </si>
  <si>
    <t>B-4778</t>
  </si>
  <si>
    <t>B-4876</t>
  </si>
  <si>
    <t>B-4739</t>
  </si>
  <si>
    <t>B-4837</t>
  </si>
  <si>
    <t>B-4700</t>
  </si>
  <si>
    <t>B-4798</t>
  </si>
  <si>
    <t>B-4661</t>
  </si>
  <si>
    <t>B-5013</t>
  </si>
  <si>
    <t>B-4759</t>
  </si>
  <si>
    <t>B-4622</t>
  </si>
  <si>
    <t>B-5111</t>
  </si>
  <si>
    <t>B-4974</t>
  </si>
  <si>
    <t>B-4720</t>
  </si>
  <si>
    <t>B-4583</t>
  </si>
  <si>
    <t>B-5072</t>
  </si>
  <si>
    <t>B-4935</t>
  </si>
  <si>
    <t>B-4681</t>
  </si>
  <si>
    <t>B-4544</t>
  </si>
  <si>
    <t>B-5033</t>
  </si>
  <si>
    <t>B-4896</t>
  </si>
  <si>
    <t>B-4642</t>
  </si>
  <si>
    <t>B-5131</t>
  </si>
  <si>
    <t>B-4994</t>
  </si>
  <si>
    <t>B-4857</t>
  </si>
  <si>
    <t>B-4603</t>
  </si>
  <si>
    <t>B-5092</t>
  </si>
  <si>
    <t>B-4955</t>
  </si>
  <si>
    <t>B-4818</t>
  </si>
  <si>
    <t>B-4564</t>
  </si>
  <si>
    <t>B-4916</t>
  </si>
  <si>
    <t>B-4779</t>
  </si>
  <si>
    <t>B-4877</t>
  </si>
  <si>
    <t>B-4740</t>
  </si>
  <si>
    <t>B-4838</t>
  </si>
  <si>
    <t>B-4701</t>
  </si>
  <si>
    <t>B-5053</t>
  </si>
  <si>
    <t>B-4799</t>
  </si>
  <si>
    <t>B-4662</t>
  </si>
  <si>
    <t>B-5014</t>
  </si>
  <si>
    <t>B-4760</t>
  </si>
  <si>
    <t>B-4623</t>
  </si>
  <si>
    <t>B-5112</t>
  </si>
  <si>
    <t>B-4975</t>
  </si>
  <si>
    <t>B-4721</t>
  </si>
  <si>
    <t>B-4584</t>
  </si>
  <si>
    <t>B-5073</t>
  </si>
  <si>
    <t>B-4936</t>
  </si>
  <si>
    <t>B-4682</t>
  </si>
  <si>
    <t>B-4545</t>
  </si>
  <si>
    <t>B-5034</t>
  </si>
  <si>
    <t>B-4897</t>
  </si>
  <si>
    <t>B-4643</t>
  </si>
  <si>
    <t>B-5132</t>
  </si>
  <si>
    <t>B-4995</t>
  </si>
  <si>
    <t>B-4858</t>
  </si>
  <si>
    <t>B-4604</t>
  </si>
  <si>
    <t>B-4956</t>
  </si>
  <si>
    <t>B-4819</t>
  </si>
  <si>
    <t>B-4565</t>
  </si>
  <si>
    <t>B-4917</t>
  </si>
  <si>
    <t>B-4780</t>
  </si>
  <si>
    <t>B-4878</t>
  </si>
  <si>
    <t>B-4741</t>
  </si>
  <si>
    <t>B-5093</t>
  </si>
  <si>
    <t>B-4839</t>
  </si>
  <si>
    <t>B-4702</t>
  </si>
  <si>
    <t>B-5054</t>
  </si>
  <si>
    <t>B-4800</t>
  </si>
  <si>
    <t>B-4663</t>
  </si>
  <si>
    <t>B-5015</t>
  </si>
  <si>
    <t>B-4761</t>
  </si>
  <si>
    <t>B-4624</t>
  </si>
  <si>
    <t>B-5113</t>
  </si>
  <si>
    <t>B-4976</t>
  </si>
  <si>
    <t>B-4722</t>
  </si>
  <si>
    <t>B-4585</t>
  </si>
  <si>
    <t>B-5074</t>
  </si>
  <si>
    <t>B-4937</t>
  </si>
  <si>
    <t>B-4683</t>
  </si>
  <si>
    <t>B-4546</t>
  </si>
  <si>
    <t>B-5035</t>
  </si>
  <si>
    <t>B-4898</t>
  </si>
  <si>
    <t>B-4644</t>
  </si>
  <si>
    <t>B-4996</t>
  </si>
  <si>
    <t>B-4859</t>
  </si>
  <si>
    <t>B-4605</t>
  </si>
  <si>
    <t>B-4957</t>
  </si>
  <si>
    <t>B-4820</t>
  </si>
  <si>
    <t>B-4566</t>
  </si>
  <si>
    <t>B-4918</t>
  </si>
  <si>
    <t>B-4781</t>
  </si>
  <si>
    <t>B-4879</t>
  </si>
  <si>
    <t>B-4742</t>
  </si>
  <si>
    <t>B-5094</t>
  </si>
  <si>
    <t>B-4840</t>
  </si>
  <si>
    <t>B-4703</t>
  </si>
  <si>
    <t>B-5055</t>
  </si>
  <si>
    <t>B-4801</t>
  </si>
  <si>
    <t>B-4664</t>
  </si>
  <si>
    <t>B-5016</t>
  </si>
  <si>
    <t>B-4762</t>
  </si>
  <si>
    <t>B-4625</t>
  </si>
  <si>
    <t>B-5114</t>
  </si>
  <si>
    <t>B-4977</t>
  </si>
  <si>
    <t>B-4723</t>
  </si>
  <si>
    <t>B-4586</t>
  </si>
  <si>
    <t>B-5075</t>
  </si>
  <si>
    <t>B-4938</t>
  </si>
  <si>
    <t>B-4684</t>
  </si>
  <si>
    <t>B-4547</t>
  </si>
  <si>
    <t>B-5036</t>
  </si>
  <si>
    <t>B-4899</t>
  </si>
  <si>
    <t>B-4645</t>
  </si>
  <si>
    <t>B-4997</t>
  </si>
  <si>
    <t>B-4860</t>
  </si>
  <si>
    <t>B-4606</t>
  </si>
  <si>
    <t>B-4958</t>
  </si>
  <si>
    <t>B-4821</t>
  </si>
  <si>
    <t>B-4567</t>
  </si>
  <si>
    <t>B-4919</t>
  </si>
  <si>
    <t>B-4782</t>
  </si>
  <si>
    <t>B-4880</t>
  </si>
  <si>
    <t>B-4743</t>
  </si>
  <si>
    <t>B-5095</t>
  </si>
  <si>
    <t>B-4841</t>
  </si>
  <si>
    <t>B-4704</t>
  </si>
  <si>
    <t>B-5056</t>
  </si>
  <si>
    <t>B-4802</t>
  </si>
  <si>
    <t>B-4665</t>
  </si>
  <si>
    <t>B-5017</t>
  </si>
  <si>
    <t>B-4763</t>
  </si>
  <si>
    <t>B-4626</t>
  </si>
  <si>
    <t>B-5115</t>
  </si>
  <si>
    <t>B-4978</t>
  </si>
  <si>
    <t>B-4724</t>
  </si>
  <si>
    <t>B-4587</t>
  </si>
  <si>
    <t>B-5076</t>
  </si>
  <si>
    <t>B-4939</t>
  </si>
  <si>
    <t>B-4685</t>
  </si>
  <si>
    <t>B-4548</t>
  </si>
  <si>
    <t>B-5037</t>
  </si>
  <si>
    <t>B-4900</t>
  </si>
  <si>
    <t>B-4646</t>
  </si>
  <si>
    <t>B-4998</t>
  </si>
  <si>
    <t>B-4861</t>
  </si>
  <si>
    <t>B-4607</t>
  </si>
  <si>
    <t>B-4959</t>
  </si>
  <si>
    <t>B-4822</t>
  </si>
  <si>
    <t>B-4568</t>
  </si>
  <si>
    <t>B-4920</t>
  </si>
  <si>
    <t>B-4783</t>
  </si>
  <si>
    <t>B-4881</t>
  </si>
  <si>
    <t>B-4744</t>
  </si>
  <si>
    <t>B-5096</t>
  </si>
  <si>
    <t>B-4842</t>
  </si>
  <si>
    <t>B-4705</t>
  </si>
  <si>
    <t>B-5057</t>
  </si>
  <si>
    <t>B-4803</t>
  </si>
  <si>
    <t>B-4666</t>
  </si>
  <si>
    <t>B-5018</t>
  </si>
  <si>
    <t>B-4764</t>
  </si>
  <si>
    <t>B-4627</t>
  </si>
  <si>
    <t>B-5116</t>
  </si>
  <si>
    <t>B-4979</t>
  </si>
  <si>
    <t>B-4725</t>
  </si>
  <si>
    <t>B-4588</t>
  </si>
  <si>
    <t>B-5077</t>
  </si>
  <si>
    <t>B-4940</t>
  </si>
  <si>
    <t>B-4686</t>
  </si>
  <si>
    <t>B-4549</t>
  </si>
  <si>
    <t>B-5038</t>
  </si>
  <si>
    <t>B-4901</t>
  </si>
  <si>
    <t>B-4647</t>
  </si>
  <si>
    <t>B-4999</t>
  </si>
  <si>
    <t>B-4862</t>
  </si>
  <si>
    <t>B-4608</t>
  </si>
  <si>
    <t>B-4960</t>
  </si>
  <si>
    <t>B-4823</t>
  </si>
  <si>
    <t>B-4569</t>
  </si>
  <si>
    <t>B-4921</t>
  </si>
  <si>
    <t>B-4784</t>
  </si>
  <si>
    <t>B-4882</t>
  </si>
  <si>
    <t>B-4745</t>
  </si>
  <si>
    <t>B-5097</t>
  </si>
  <si>
    <t>B-4843</t>
  </si>
  <si>
    <t>B-4706</t>
  </si>
  <si>
    <t>B-5058</t>
  </si>
  <si>
    <t>B-4804</t>
  </si>
  <si>
    <t>B-4667</t>
  </si>
  <si>
    <t>B-5019</t>
  </si>
  <si>
    <t>B-4765</t>
  </si>
  <si>
    <t>B-4628</t>
  </si>
  <si>
    <t>B-5117</t>
  </si>
  <si>
    <t>B-4980</t>
  </si>
  <si>
    <t>B-4726</t>
  </si>
  <si>
    <t>B-4589</t>
  </si>
  <si>
    <t>B-5078</t>
  </si>
  <si>
    <t>B-4941</t>
  </si>
  <si>
    <t>B-4687</t>
  </si>
  <si>
    <t>B-4550</t>
  </si>
  <si>
    <t>B-5039</t>
  </si>
  <si>
    <t>B-4902</t>
  </si>
  <si>
    <t>B-4648</t>
  </si>
  <si>
    <t>B-5000</t>
  </si>
  <si>
    <t>B-4863</t>
  </si>
  <si>
    <t>B-4609</t>
  </si>
  <si>
    <t>B-4961</t>
  </si>
  <si>
    <t>B-4824</t>
  </si>
  <si>
    <t>B-4570</t>
  </si>
  <si>
    <t>B-4922</t>
  </si>
  <si>
    <t>B-4785</t>
  </si>
  <si>
    <t>B-4883</t>
  </si>
  <si>
    <t>B-4746</t>
  </si>
  <si>
    <t>B-5098</t>
  </si>
  <si>
    <t>B-4844</t>
  </si>
  <si>
    <t>B-4707</t>
  </si>
  <si>
    <t>B-5059</t>
  </si>
  <si>
    <t>B-4805</t>
  </si>
  <si>
    <t>B-4668</t>
  </si>
  <si>
    <t>B-5020</t>
  </si>
  <si>
    <t>B-4766</t>
  </si>
  <si>
    <t>B-4629</t>
  </si>
  <si>
    <t>B-5118</t>
  </si>
  <si>
    <t>B-4981</t>
  </si>
  <si>
    <t>B-4727</t>
  </si>
  <si>
    <t>B-4590</t>
  </si>
  <si>
    <t>B-5079</t>
  </si>
  <si>
    <t>B-4942</t>
  </si>
  <si>
    <t>B-4688</t>
  </si>
  <si>
    <t>B-4551</t>
  </si>
  <si>
    <t>B-5040</t>
  </si>
  <si>
    <t>B-4903</t>
  </si>
  <si>
    <t>B-4649</t>
  </si>
  <si>
    <t>B-5001</t>
  </si>
  <si>
    <t>B-4864</t>
  </si>
  <si>
    <t>B-4610</t>
  </si>
  <si>
    <t>B-4962</t>
  </si>
  <si>
    <t>B-4825</t>
  </si>
  <si>
    <t>B-4571</t>
  </si>
  <si>
    <t>B-4923</t>
  </si>
  <si>
    <t>B-4786</t>
  </si>
  <si>
    <t>B-4884</t>
  </si>
  <si>
    <t>B-4747</t>
  </si>
  <si>
    <t>B-5099</t>
  </si>
  <si>
    <t>B-4845</t>
  </si>
  <si>
    <t>B-4708</t>
  </si>
  <si>
    <t>B-5060</t>
  </si>
  <si>
    <t>B-4806</t>
  </si>
  <si>
    <t>B-4669</t>
  </si>
  <si>
    <t>B-5021</t>
  </si>
  <si>
    <t>B-4767</t>
  </si>
  <si>
    <t>B-4630</t>
  </si>
  <si>
    <t>B-5119</t>
  </si>
  <si>
    <t>B-4982</t>
  </si>
  <si>
    <t>B-4728</t>
  </si>
  <si>
    <t>B-4591</t>
  </si>
  <si>
    <t>B-5080</t>
  </si>
  <si>
    <t>B-4943</t>
  </si>
  <si>
    <t>B-4689</t>
  </si>
  <si>
    <t>B-4552</t>
  </si>
  <si>
    <t>B-5041</t>
  </si>
  <si>
    <t>B-4904</t>
  </si>
  <si>
    <t>B-4650</t>
  </si>
  <si>
    <t>B-5002</t>
  </si>
  <si>
    <t>B-4865</t>
  </si>
  <si>
    <t>B-4611</t>
  </si>
  <si>
    <t>B-4963</t>
  </si>
  <si>
    <t>B-4826</t>
  </si>
  <si>
    <t>B-4572</t>
  </si>
  <si>
    <t>B-4924</t>
  </si>
  <si>
    <t>B-4787</t>
  </si>
  <si>
    <t>B-4885</t>
  </si>
  <si>
    <t>B-4748</t>
  </si>
  <si>
    <t>B-5100</t>
  </si>
  <si>
    <t>B-4846</t>
  </si>
  <si>
    <t>B-4709</t>
  </si>
  <si>
    <t>B-5061</t>
  </si>
  <si>
    <t>B-4807</t>
  </si>
  <si>
    <t>B-4670</t>
  </si>
  <si>
    <t>OOS Event ID</t>
  </si>
  <si>
    <t>OOS Event Date</t>
  </si>
  <si>
    <t>OOS Status</t>
  </si>
  <si>
    <t>Closure Date</t>
  </si>
  <si>
    <t>Test Category</t>
  </si>
  <si>
    <t>OOS-00001</t>
  </si>
  <si>
    <t>Closed</t>
  </si>
  <si>
    <t>Identity</t>
  </si>
  <si>
    <t>OOS-00002</t>
  </si>
  <si>
    <t>Purity</t>
  </si>
  <si>
    <t>OOS-00003</t>
  </si>
  <si>
    <t>Dissolution</t>
  </si>
  <si>
    <t>OOS-00004</t>
  </si>
  <si>
    <t>OOS-00005</t>
  </si>
  <si>
    <t>OOS-00006</t>
  </si>
  <si>
    <t>Sterility</t>
  </si>
  <si>
    <t>OOS-00007</t>
  </si>
  <si>
    <t>OOS-00008</t>
  </si>
  <si>
    <t>OOS-00009</t>
  </si>
  <si>
    <t>OOS-00010</t>
  </si>
  <si>
    <t>Assay</t>
  </si>
  <si>
    <t>OOS-00011</t>
  </si>
  <si>
    <t>OOS-00012</t>
  </si>
  <si>
    <t>OOS-00013</t>
  </si>
  <si>
    <t>OOS-00014</t>
  </si>
  <si>
    <t>OOS-00015</t>
  </si>
  <si>
    <t>OOS-00016</t>
  </si>
  <si>
    <t>OOS-00017</t>
  </si>
  <si>
    <t>OOS-00018</t>
  </si>
  <si>
    <t>OOS-00019</t>
  </si>
  <si>
    <t>OOS-00020</t>
  </si>
  <si>
    <t>OOS-00021</t>
  </si>
  <si>
    <t>OOS-00022</t>
  </si>
  <si>
    <t>OOS-00023</t>
  </si>
  <si>
    <t>OOS-00024</t>
  </si>
  <si>
    <t>OOS-00025</t>
  </si>
  <si>
    <t>OOS-00026</t>
  </si>
  <si>
    <t>OOS-00027</t>
  </si>
  <si>
    <t>OOS-00028</t>
  </si>
  <si>
    <t>OOS-00029</t>
  </si>
  <si>
    <t>OOS-00030</t>
  </si>
  <si>
    <t>OOS-00031</t>
  </si>
  <si>
    <t>OOS-00032</t>
  </si>
  <si>
    <t>OOS-00033</t>
  </si>
  <si>
    <t>OOS-00034</t>
  </si>
  <si>
    <t>OOS-00035</t>
  </si>
  <si>
    <t>OOS-00036</t>
  </si>
  <si>
    <t>OOS-00037</t>
  </si>
  <si>
    <t>OOS-00038</t>
  </si>
  <si>
    <t>OOS-00039</t>
  </si>
  <si>
    <t>OOS-00040</t>
  </si>
  <si>
    <t>OOS-00041</t>
  </si>
  <si>
    <t>OOS-00042</t>
  </si>
  <si>
    <t>OOS-00043</t>
  </si>
  <si>
    <t>OOS-00044</t>
  </si>
  <si>
    <t>OOS-00045</t>
  </si>
  <si>
    <t>OOS-00046</t>
  </si>
  <si>
    <t>OOS-00047</t>
  </si>
  <si>
    <t>OOS-00048</t>
  </si>
  <si>
    <t>OOS-00049</t>
  </si>
  <si>
    <t>OOS-00050</t>
  </si>
  <si>
    <t>OOS-00051</t>
  </si>
  <si>
    <t>OOS-00052</t>
  </si>
  <si>
    <t>OOS-00053</t>
  </si>
  <si>
    <t>OOS-00054</t>
  </si>
  <si>
    <t>OOS-00055</t>
  </si>
  <si>
    <t>OOS-00056</t>
  </si>
  <si>
    <t>OOS-00057</t>
  </si>
  <si>
    <t>OOS-00058</t>
  </si>
  <si>
    <t>OOS-00059</t>
  </si>
  <si>
    <t>OOS-00060</t>
  </si>
  <si>
    <t>OOS-00061</t>
  </si>
  <si>
    <t>OOS-00062</t>
  </si>
  <si>
    <t>OOS-00063</t>
  </si>
  <si>
    <t>OOS-00064</t>
  </si>
  <si>
    <t>OOS-00065</t>
  </si>
  <si>
    <t>OOS-00066</t>
  </si>
  <si>
    <t>OOS-00067</t>
  </si>
  <si>
    <t>OOS-00068</t>
  </si>
  <si>
    <t>OOS-00069</t>
  </si>
  <si>
    <t>OOS-00070</t>
  </si>
  <si>
    <t>OOS-00071</t>
  </si>
  <si>
    <t>OOS-00072</t>
  </si>
  <si>
    <t>OOS-00073</t>
  </si>
  <si>
    <t>OOS-00074</t>
  </si>
  <si>
    <t>OOS-00075</t>
  </si>
  <si>
    <t>OOS-00076</t>
  </si>
  <si>
    <t>OOS-00077</t>
  </si>
  <si>
    <t>OOS-00078</t>
  </si>
  <si>
    <t>OOS-00079</t>
  </si>
  <si>
    <t>OOS-00080</t>
  </si>
  <si>
    <t>OOS-00081</t>
  </si>
  <si>
    <t>OOS-00082</t>
  </si>
  <si>
    <t>OOS-00083</t>
  </si>
  <si>
    <t>OOS-00084</t>
  </si>
  <si>
    <t>OOS-00085</t>
  </si>
  <si>
    <t>OOS-00086</t>
  </si>
  <si>
    <t>OOS-00087</t>
  </si>
  <si>
    <t>OOS-00088</t>
  </si>
  <si>
    <t>OOS-00089</t>
  </si>
  <si>
    <t>OOS-00090</t>
  </si>
  <si>
    <t>OOS-00091</t>
  </si>
  <si>
    <t>OOS-00092</t>
  </si>
  <si>
    <t>OOS-00093</t>
  </si>
  <si>
    <t>OOS-00094</t>
  </si>
  <si>
    <t>OOS-00095</t>
  </si>
  <si>
    <t>OOS-00096</t>
  </si>
  <si>
    <t>OOS-00097</t>
  </si>
  <si>
    <t>OOS-00098</t>
  </si>
  <si>
    <t>OOS-00099</t>
  </si>
  <si>
    <t>OOS-00100</t>
  </si>
  <si>
    <t>OOS-00101</t>
  </si>
  <si>
    <t>OOS-00102</t>
  </si>
  <si>
    <t>OOS-00103</t>
  </si>
  <si>
    <t>OOS-00104</t>
  </si>
  <si>
    <t>OOS-00105</t>
  </si>
  <si>
    <t>OOS-00106</t>
  </si>
  <si>
    <t>OOS-00107</t>
  </si>
  <si>
    <t>OOS-00108</t>
  </si>
  <si>
    <t>OOS-00109</t>
  </si>
  <si>
    <t>OOS-00110</t>
  </si>
  <si>
    <t>OOS-00111</t>
  </si>
  <si>
    <t>OOS-00112</t>
  </si>
  <si>
    <t>OOS-00113</t>
  </si>
  <si>
    <t>OOS-00114</t>
  </si>
  <si>
    <t>OOS-00115</t>
  </si>
  <si>
    <t>OOS-00116</t>
  </si>
  <si>
    <t>OOS-00117</t>
  </si>
  <si>
    <t>OOS-00118</t>
  </si>
  <si>
    <t>OOS-00119</t>
  </si>
  <si>
    <t>OOS-00120</t>
  </si>
  <si>
    <t>OOS-00121</t>
  </si>
  <si>
    <t>OOS-00122</t>
  </si>
  <si>
    <t>OOS-00123</t>
  </si>
  <si>
    <t>OOS-00124</t>
  </si>
  <si>
    <t>OOS-00125</t>
  </si>
  <si>
    <t>OOS-00126</t>
  </si>
  <si>
    <t>OOS-00127</t>
  </si>
  <si>
    <t>OOS-00128</t>
  </si>
  <si>
    <t>OOS-00129</t>
  </si>
  <si>
    <t>OOS-00130</t>
  </si>
  <si>
    <t>OOS-00131</t>
  </si>
  <si>
    <t>OOS-00132</t>
  </si>
  <si>
    <t>OOS-00133</t>
  </si>
  <si>
    <t>OOS-00134</t>
  </si>
  <si>
    <t>OOS-00135</t>
  </si>
  <si>
    <t>OOS-00136</t>
  </si>
  <si>
    <t>OOS-00137</t>
  </si>
  <si>
    <t>OOS-00138</t>
  </si>
  <si>
    <t>OOS-00139</t>
  </si>
  <si>
    <t>OOS-00140</t>
  </si>
  <si>
    <t>OOS-00141</t>
  </si>
  <si>
    <t>OOS-00142</t>
  </si>
  <si>
    <t>OOS-00143</t>
  </si>
  <si>
    <t>OOS-00144</t>
  </si>
  <si>
    <t>OOS-00145</t>
  </si>
  <si>
    <t>OOS-00146</t>
  </si>
  <si>
    <t>OOS-00147</t>
  </si>
  <si>
    <t>OOS-00148</t>
  </si>
  <si>
    <t>OOS-00149</t>
  </si>
  <si>
    <t>OOS-00150</t>
  </si>
  <si>
    <t>OOS-00151</t>
  </si>
  <si>
    <t>OOS-00152</t>
  </si>
  <si>
    <t>OOS-00153</t>
  </si>
  <si>
    <t>OOS-00154</t>
  </si>
  <si>
    <t>OOS-00155</t>
  </si>
  <si>
    <t>OOS-00156</t>
  </si>
  <si>
    <t>OOS-00157</t>
  </si>
  <si>
    <t>OOS-00158</t>
  </si>
  <si>
    <t>OOS-00159</t>
  </si>
  <si>
    <t>OOS-00160</t>
  </si>
  <si>
    <t>OOS-00161</t>
  </si>
  <si>
    <t>OOS-00162</t>
  </si>
  <si>
    <t>OOS-00163</t>
  </si>
  <si>
    <t>OOS-00164</t>
  </si>
  <si>
    <t>OOS-00165</t>
  </si>
  <si>
    <t>OOS-00166</t>
  </si>
  <si>
    <t>OOS-00167</t>
  </si>
  <si>
    <t>OOS-00168</t>
  </si>
  <si>
    <t>OOS-00169</t>
  </si>
  <si>
    <t>OOS-00170</t>
  </si>
  <si>
    <t>OOS-00171</t>
  </si>
  <si>
    <t>OOS-00172</t>
  </si>
  <si>
    <t>OOS-00173</t>
  </si>
  <si>
    <t>OOS-00174</t>
  </si>
  <si>
    <t>OOS-00175</t>
  </si>
  <si>
    <t>OOS-00176</t>
  </si>
  <si>
    <t>OOS-00177</t>
  </si>
  <si>
    <t>OOS-00178</t>
  </si>
  <si>
    <t>OOS-00179</t>
  </si>
  <si>
    <t>OOS-00180</t>
  </si>
  <si>
    <t>OOS-00181</t>
  </si>
  <si>
    <t>OOS-00182</t>
  </si>
  <si>
    <t>OOS-00183</t>
  </si>
  <si>
    <t>OOS-00184</t>
  </si>
  <si>
    <t>OOS-00185</t>
  </si>
  <si>
    <t>OOS-00186</t>
  </si>
  <si>
    <t>OOS-00187</t>
  </si>
  <si>
    <t>OOS-00188</t>
  </si>
  <si>
    <t>OOS-00189</t>
  </si>
  <si>
    <t>OOS-00190</t>
  </si>
  <si>
    <t>OOS-00191</t>
  </si>
  <si>
    <t>OOS-00192</t>
  </si>
  <si>
    <t>OOS-00193</t>
  </si>
  <si>
    <t>OOS-00194</t>
  </si>
  <si>
    <t>OOS-00195</t>
  </si>
  <si>
    <t>OOS-00196</t>
  </si>
  <si>
    <t>OOS-00197</t>
  </si>
  <si>
    <t>OOS-00198</t>
  </si>
  <si>
    <t>OOS-00199</t>
  </si>
  <si>
    <t>OOS-00200</t>
  </si>
  <si>
    <t>OOS-00201</t>
  </si>
  <si>
    <t>Open</t>
  </si>
  <si>
    <t>OOS-00202</t>
  </si>
  <si>
    <t>OOS-00203</t>
  </si>
  <si>
    <t>OOS-00204</t>
  </si>
  <si>
    <t>OOS-00205</t>
  </si>
  <si>
    <t>OOS-00206</t>
  </si>
  <si>
    <t>OOS-00207</t>
  </si>
  <si>
    <t>OOS-00208</t>
  </si>
  <si>
    <t>OOS-00209</t>
  </si>
  <si>
    <t>OOS-00210</t>
  </si>
  <si>
    <t>OOS-00211</t>
  </si>
  <si>
    <t>OOS-00212</t>
  </si>
  <si>
    <t>OOS-00213</t>
  </si>
  <si>
    <t>OOS-00214</t>
  </si>
  <si>
    <t>OOS-00215</t>
  </si>
  <si>
    <t>OOS-00216</t>
  </si>
  <si>
    <t>OOS-00217</t>
  </si>
  <si>
    <t>OOS-00218</t>
  </si>
  <si>
    <t>OOS-00219</t>
  </si>
  <si>
    <t>OOS-00220</t>
  </si>
  <si>
    <t>OOS-00221</t>
  </si>
  <si>
    <t>OOS-00222</t>
  </si>
  <si>
    <t>OOS-00223</t>
  </si>
  <si>
    <t>OOS-00224</t>
  </si>
  <si>
    <t>OOS-00225</t>
  </si>
  <si>
    <t>OOS-00226</t>
  </si>
  <si>
    <t>OOS-00227</t>
  </si>
  <si>
    <t>OOS-00228</t>
  </si>
  <si>
    <t>Column / Sheet</t>
  </si>
  <si>
    <t>Definition</t>
  </si>
  <si>
    <t>Feature Timing / Leakage Rule</t>
  </si>
  <si>
    <t>Origin</t>
  </si>
  <si>
    <t>Historical Batch Data</t>
  </si>
  <si>
    <t>One row per historical batch</t>
  </si>
  <si>
    <t>All predictor features are evaluated at Prediction / Start Date</t>
  </si>
  <si>
    <t>Synthetic</t>
  </si>
  <si>
    <t>Unique batch identifier</t>
  </si>
  <si>
    <t>Known at prediction</t>
  </si>
  <si>
    <t>Material identifier repeated across batches</t>
  </si>
  <si>
    <t>Based on source materials; repeated synthetically</t>
  </si>
  <si>
    <t>SYN-O Site</t>
  </si>
  <si>
    <t>NorthStar Biologics Ltd.</t>
  </si>
  <si>
    <t>Manufacturing/QC site; repeated by material</t>
  </si>
  <si>
    <t>SYN-t Date</t>
  </si>
  <si>
    <t>Date batch enters QC and prediction is made</t>
  </si>
  <si>
    <t>Anchor date for point-in-time features</t>
  </si>
  <si>
    <t>SYN- Start</t>
  </si>
  <si>
    <t>SilverLine Therapeutics</t>
  </si>
  <si>
    <t>Open QC workload at site on prediction date</t>
  </si>
  <si>
    <t>Snapshot at prediction date only</t>
  </si>
  <si>
    <t>SYN-0 Days</t>
  </si>
  <si>
    <t>SummitCore Healthcare</t>
  </si>
  <si>
    <t>OOS events for same Material and Site from D-90 through D-1</t>
  </si>
  <si>
    <t>Excludes events on/after prediction date</t>
  </si>
  <si>
    <t>Formula from OOS Events</t>
  </si>
  <si>
    <t>SYN-Batch)</t>
  </si>
  <si>
    <t>OOS event count attached to the current batch</t>
  </si>
  <si>
    <t>Outcome/diagnostic; do not use as a predictor if not known at prediction</t>
  </si>
  <si>
    <t>OOS Events</t>
  </si>
  <si>
    <t>SYN-Events</t>
  </si>
  <si>
    <t>NovaCrest Manufacturing</t>
  </si>
  <si>
    <t>Event-level OOS table with event and closure dates</t>
  </si>
  <si>
    <t>Filter OOS Event Date strictly before prediction date for model features</t>
  </si>
  <si>
    <t>Repeated history</t>
  </si>
  <si>
    <t>SYN-istory</t>
  </si>
  <si>
    <t>Pioneer Clinical Supplies</t>
  </si>
  <si>
    <t>Each material appears across multiple batches and mostly within a consistent primary site</t>
  </si>
  <si>
    <t>Supports material/site lag and aggregate features</t>
  </si>
  <si>
    <t>Synthetic design</t>
  </si>
  <si>
    <t>Supplier identifier matched by Material from the source workbook</t>
  </si>
  <si>
    <t>Matched from source data</t>
  </si>
  <si>
    <t>Dummy supplier name assigned consistently to the matched supplier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</si>
</sst>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6">
    <font>
      <sz val="11"/>
      <color theme="1"/>
      <name val="Calibri"/>
      <family val="2"/>
      <charset val="1"/>
    </font>
    <font>
      <b/>
      <sz val="16"/>
      <color rgb="FFFFFFFF"/>
      <name val="Cambria"/>
      <charset val="1"/>
    </font>
    <font>
      <i/>
      <sz val="11"/>
      <color rgb="FF666666"/>
      <name val="Cambria"/>
      <charset val="1"/>
    </font>
    <font>
      <b/>
      <sz val="11"/>
      <color rgb="FFFFFFFF"/>
      <name val="Cambria"/>
      <charset val="1"/>
    </font>
    <font>
      <sz val="11"/>
      <color rgb="FF008000"/>
      <name val="Calibri"/>
    </font>
    <font>
      <sz val="11"/>
      <color rgb="FF80808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A64D79"/>
        <bgColor rgb="FF6F2D5C"/>
      </patternFill>
    </fill>
    <fill>
      <patternFill patternType="solid">
        <fgColor rgb="FF6F2D5C"/>
        <bgColor rgb="FF660066"/>
      </patternFill>
    </fill>
    <fill>
      <patternFill patternType="solid">
        <fgColor rgb="FFFCE4D6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3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horizontal="center"/>
    </xf>
    <xf numFmtId="164" fontId="0" fillId="4" borderId="0" xfId="0" applyNumberFormat="1" applyFill="1"/>
    <xf numFmtId="0" fontId="3" fillId="3" borderId="0" xfId="0" applyFont="1" applyFill="1" applyAlignment="1">
      <alignment horizontal="center"/>
    </xf>
    <xf numFmtId="0" fontId="3" fillId="3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4" fillId="0" borderId="0" xfId="0" applyFont="1"/>
    <xf numFmtId="0" fontId="5" fillId="0" borderId="0" xfId="0" applyFont="1"/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A64D79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6F2D5C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04"/>
  <sheetViews>
    <sheetView showGridLines="0" tabSelected="1" zoomScaleNormal="100" workbookViewId="0">
      <pane ySplit="4" topLeftCell="A5" activePane="bottomLeft" state="frozen"/>
      <selection pane="bottomLeft"/>
    </sheetView>
  </sheetViews>
  <sheetFormatPr defaultColWidth="8.7109375" defaultRowHeight="15" customHeight="1"/>
  <cols>
    <col min="1" max="2" width="15" customWidth="1"/>
    <col min="3" max="3" width="18" customWidth="1"/>
    <col min="4" max="4" width="30" customWidth="1"/>
    <col min="5" max="5" width="20" customWidth="1"/>
    <col min="6" max="6" width="21" customWidth="1"/>
    <col min="7" max="7" width="20" customWidth="1"/>
    <col min="8" max="8" width="25" customWidth="1"/>
    <col min="9" max="9" width="24" customWidth="1"/>
    <col min="10" max="10" width="20" customWidth="1"/>
    <col min="11" max="11" width="17" customWidth="1"/>
    <col min="12" max="12" width="30" customWidth="1"/>
  </cols>
  <sheetData>
    <row r="1" spans="1:14" ht="19.7" customHeight="1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4" ht="15" customHeight="1">
      <c r="A2" s="10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4" spans="1:14" ht="43.5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</row>
    <row r="5" spans="1:14" ht="15" customHeight="1">
      <c r="A5" t="s">
        <v>16</v>
      </c>
      <c r="B5" t="s">
        <v>17</v>
      </c>
      <c r="C5" s="8" t="s">
        <v>18</v>
      </c>
      <c r="D5" s="9" t="s">
        <v>19</v>
      </c>
      <c r="E5" t="s">
        <v>20</v>
      </c>
      <c r="F5" s="2">
        <v>45580</v>
      </c>
      <c r="G5" s="3">
        <v>15</v>
      </c>
      <c r="H5" s="2">
        <v>45597</v>
      </c>
      <c r="I5" s="4">
        <v>45598</v>
      </c>
      <c r="J5" s="3">
        <f>COUNTIFS('OOS Events'!$C:$C,B5,'OOS Events'!$D:$D,C5,'OOS Events'!$E:$E,"&gt;="&amp;D5-90,'OOS Events'!$E:$E,"&lt;"&amp;D5)</f>
        <v>0</v>
      </c>
      <c r="K5" s="3">
        <f>COUNTIF('OOS Events'!$B:$B,A5)</f>
        <v>0</v>
      </c>
      <c r="L5" s="3">
        <v>2</v>
      </c>
      <c r="M5" s="3">
        <v>9</v>
      </c>
      <c r="N5" t="s">
        <v>21</v>
      </c>
    </row>
    <row r="6" spans="1:14" ht="15" customHeight="1">
      <c r="A6" t="s">
        <v>22</v>
      </c>
      <c r="B6" t="s">
        <v>23</v>
      </c>
      <c r="C6" s="8" t="s">
        <v>24</v>
      </c>
      <c r="D6" s="9" t="s">
        <v>25</v>
      </c>
      <c r="E6" t="s">
        <v>26</v>
      </c>
      <c r="F6" s="2">
        <v>45580</v>
      </c>
      <c r="G6" s="3">
        <v>14</v>
      </c>
      <c r="H6" s="2">
        <v>45614</v>
      </c>
      <c r="I6" s="2">
        <v>45614</v>
      </c>
      <c r="J6" s="3">
        <f>COUNTIFS('OOS Events'!$C:$C,B6,'OOS Events'!$D:$D,C6,'OOS Events'!$E:$E,"&gt;="&amp;D6-90,'OOS Events'!$E:$E,"&lt;"&amp;D6)</f>
        <v>0</v>
      </c>
      <c r="K6" s="3">
        <f>COUNTIF('OOS Events'!$B:$B,A6)</f>
        <v>1</v>
      </c>
      <c r="L6" s="3">
        <v>0</v>
      </c>
      <c r="M6" s="3">
        <v>18</v>
      </c>
      <c r="N6" t="s">
        <v>27</v>
      </c>
    </row>
    <row r="7" spans="1:14" ht="15" customHeight="1">
      <c r="A7" t="s">
        <v>28</v>
      </c>
      <c r="B7" t="s">
        <v>29</v>
      </c>
      <c r="C7" s="8" t="s">
        <v>24</v>
      </c>
      <c r="D7" s="9" t="s">
        <v>25</v>
      </c>
      <c r="E7" t="s">
        <v>30</v>
      </c>
      <c r="F7" s="2">
        <v>45582</v>
      </c>
      <c r="G7" s="3">
        <v>11</v>
      </c>
      <c r="H7" s="2">
        <v>45600</v>
      </c>
      <c r="I7" s="2">
        <v>45600</v>
      </c>
      <c r="J7" s="3">
        <f>COUNTIFS('OOS Events'!$C:$C,B7,'OOS Events'!$D:$D,C7,'OOS Events'!$E:$E,"&gt;="&amp;D7-90,'OOS Events'!$E:$E,"&lt;"&amp;D7)</f>
        <v>0</v>
      </c>
      <c r="K7" s="3">
        <f>COUNTIF('OOS Events'!$B:$B,A7)</f>
        <v>1</v>
      </c>
      <c r="L7" s="3">
        <v>1</v>
      </c>
      <c r="M7" s="3">
        <v>14</v>
      </c>
      <c r="N7" t="s">
        <v>21</v>
      </c>
    </row>
    <row r="8" spans="1:14" ht="15" customHeight="1">
      <c r="A8" t="s">
        <v>31</v>
      </c>
      <c r="B8" t="s">
        <v>32</v>
      </c>
      <c r="C8" s="8" t="s">
        <v>33</v>
      </c>
      <c r="D8" s="9" t="s">
        <v>19</v>
      </c>
      <c r="E8" t="s">
        <v>34</v>
      </c>
      <c r="F8" s="2">
        <v>45583</v>
      </c>
      <c r="G8" s="3">
        <v>4</v>
      </c>
      <c r="H8" s="2">
        <v>45619</v>
      </c>
      <c r="I8" s="2">
        <v>45619</v>
      </c>
      <c r="J8" s="3">
        <f>COUNTIFS('OOS Events'!$C:$C,B8,'OOS Events'!$D:$D,C8,'OOS Events'!$E:$E,"&gt;="&amp;D8-90,'OOS Events'!$E:$E,"&lt;"&amp;D8)</f>
        <v>0</v>
      </c>
      <c r="K8" s="3">
        <f>COUNTIF('OOS Events'!$B:$B,A8)</f>
        <v>2</v>
      </c>
      <c r="L8" s="3">
        <v>0</v>
      </c>
      <c r="M8" s="3">
        <v>41</v>
      </c>
      <c r="N8" t="s">
        <v>35</v>
      </c>
    </row>
    <row r="9" spans="1:14" ht="15" customHeight="1">
      <c r="A9" t="s">
        <v>36</v>
      </c>
      <c r="B9" t="s">
        <v>37</v>
      </c>
      <c r="C9" s="8" t="s">
        <v>38</v>
      </c>
      <c r="D9" s="9" t="s">
        <v>39</v>
      </c>
      <c r="E9" t="s">
        <v>26</v>
      </c>
      <c r="F9" s="2">
        <v>45583</v>
      </c>
      <c r="G9" s="3">
        <v>18</v>
      </c>
      <c r="H9" s="2">
        <v>45604</v>
      </c>
      <c r="I9" s="4">
        <v>45605</v>
      </c>
      <c r="J9" s="3">
        <f>COUNTIFS('OOS Events'!$C:$C,B9,'OOS Events'!$D:$D,C9,'OOS Events'!$E:$E,"&gt;="&amp;D9-90,'OOS Events'!$E:$E,"&lt;"&amp;D9)</f>
        <v>0</v>
      </c>
      <c r="K9" s="3">
        <f>COUNTIF('OOS Events'!$B:$B,A9)</f>
        <v>0</v>
      </c>
      <c r="L9" s="3">
        <v>0</v>
      </c>
      <c r="M9" s="3">
        <v>8</v>
      </c>
      <c r="N9" t="s">
        <v>40</v>
      </c>
    </row>
    <row r="10" spans="1:14" ht="15" customHeight="1">
      <c r="A10" t="s">
        <v>41</v>
      </c>
      <c r="B10" t="s">
        <v>42</v>
      </c>
      <c r="C10" s="8" t="s">
        <v>24</v>
      </c>
      <c r="D10" s="9" t="s">
        <v>25</v>
      </c>
      <c r="E10" t="s">
        <v>43</v>
      </c>
      <c r="F10" s="2">
        <v>45584</v>
      </c>
      <c r="G10" s="3">
        <v>21</v>
      </c>
      <c r="H10" s="2">
        <v>45613</v>
      </c>
      <c r="I10" s="4">
        <v>45614</v>
      </c>
      <c r="J10" s="3">
        <f>COUNTIFS('OOS Events'!$C:$C,B10,'OOS Events'!$D:$D,C10,'OOS Events'!$E:$E,"&gt;="&amp;D10-90,'OOS Events'!$E:$E,"&lt;"&amp;D10)</f>
        <v>0</v>
      </c>
      <c r="K10" s="3">
        <f>COUNTIF('OOS Events'!$B:$B,A10)</f>
        <v>1</v>
      </c>
      <c r="L10" s="3">
        <v>0</v>
      </c>
      <c r="M10" s="3">
        <v>34</v>
      </c>
      <c r="N10" t="s">
        <v>44</v>
      </c>
    </row>
    <row r="11" spans="1:14" ht="15" customHeight="1">
      <c r="A11" t="s">
        <v>45</v>
      </c>
      <c r="B11" t="s">
        <v>46</v>
      </c>
      <c r="C11" s="8" t="s">
        <v>24</v>
      </c>
      <c r="D11" s="9" t="s">
        <v>25</v>
      </c>
      <c r="E11" t="s">
        <v>34</v>
      </c>
      <c r="F11" s="2">
        <v>45586</v>
      </c>
      <c r="G11" s="3">
        <v>7</v>
      </c>
      <c r="H11" s="2">
        <v>45613</v>
      </c>
      <c r="I11" s="4">
        <v>45615</v>
      </c>
      <c r="J11" s="3">
        <f>COUNTIFS('OOS Events'!$C:$C,B11,'OOS Events'!$D:$D,C11,'OOS Events'!$E:$E,"&gt;="&amp;D11-90,'OOS Events'!$E:$E,"&lt;"&amp;D11)</f>
        <v>0</v>
      </c>
      <c r="K11" s="3">
        <f>COUNTIF('OOS Events'!$B:$B,A11)</f>
        <v>0</v>
      </c>
      <c r="L11" s="3">
        <v>2</v>
      </c>
      <c r="M11" s="3">
        <v>16</v>
      </c>
      <c r="N11" t="s">
        <v>47</v>
      </c>
    </row>
    <row r="12" spans="1:14" ht="15" customHeight="1">
      <c r="A12" t="s">
        <v>48</v>
      </c>
      <c r="B12" t="s">
        <v>49</v>
      </c>
      <c r="C12" s="8" t="s">
        <v>33</v>
      </c>
      <c r="D12" s="9" t="s">
        <v>19</v>
      </c>
      <c r="E12" t="s">
        <v>30</v>
      </c>
      <c r="F12" s="2">
        <v>45587</v>
      </c>
      <c r="G12" s="3">
        <v>15</v>
      </c>
      <c r="H12" s="2">
        <v>45604</v>
      </c>
      <c r="I12" s="2">
        <v>45604</v>
      </c>
      <c r="J12" s="3">
        <f>COUNTIFS('OOS Events'!$C:$C,B12,'OOS Events'!$D:$D,C12,'OOS Events'!$E:$E,"&gt;="&amp;D12-90,'OOS Events'!$E:$E,"&lt;"&amp;D12)</f>
        <v>0</v>
      </c>
      <c r="K12" s="3">
        <f>COUNTIF('OOS Events'!$B:$B,A12)</f>
        <v>0</v>
      </c>
      <c r="L12" s="3">
        <v>0</v>
      </c>
      <c r="M12" s="3">
        <v>12</v>
      </c>
      <c r="N12" t="s">
        <v>21</v>
      </c>
    </row>
    <row r="13" spans="1:14" ht="15" customHeight="1">
      <c r="A13" t="s">
        <v>50</v>
      </c>
      <c r="B13" t="s">
        <v>51</v>
      </c>
      <c r="C13" s="8" t="s">
        <v>38</v>
      </c>
      <c r="D13" s="9" t="s">
        <v>39</v>
      </c>
      <c r="E13" t="s">
        <v>43</v>
      </c>
      <c r="F13" s="2">
        <v>45587</v>
      </c>
      <c r="G13" s="3">
        <v>21</v>
      </c>
      <c r="H13" s="2">
        <v>45629</v>
      </c>
      <c r="I13" s="4">
        <v>45630</v>
      </c>
      <c r="J13" s="3">
        <f>COUNTIFS('OOS Events'!$C:$C,B13,'OOS Events'!$D:$D,C13,'OOS Events'!$E:$E,"&gt;="&amp;D13-90,'OOS Events'!$E:$E,"&lt;"&amp;D13)</f>
        <v>0</v>
      </c>
      <c r="K13" s="3">
        <f>COUNTIF('OOS Events'!$B:$B,A13)</f>
        <v>0</v>
      </c>
      <c r="L13" s="3">
        <v>1</v>
      </c>
      <c r="M13" s="3">
        <v>19</v>
      </c>
      <c r="N13" t="s">
        <v>27</v>
      </c>
    </row>
    <row r="14" spans="1:14" ht="15" customHeight="1">
      <c r="A14" t="s">
        <v>52</v>
      </c>
      <c r="B14" t="s">
        <v>53</v>
      </c>
      <c r="C14" s="8" t="s">
        <v>24</v>
      </c>
      <c r="D14" s="9" t="s">
        <v>25</v>
      </c>
      <c r="E14" t="s">
        <v>30</v>
      </c>
      <c r="F14" s="2">
        <v>45588</v>
      </c>
      <c r="G14" s="3">
        <v>13</v>
      </c>
      <c r="H14" s="2">
        <v>45607</v>
      </c>
      <c r="I14" s="2">
        <v>45606</v>
      </c>
      <c r="J14" s="3">
        <f>COUNTIFS('OOS Events'!$C:$C,B14,'OOS Events'!$D:$D,C14,'OOS Events'!$E:$E,"&gt;="&amp;D14-90,'OOS Events'!$E:$E,"&lt;"&amp;D14)</f>
        <v>0</v>
      </c>
      <c r="K14" s="3">
        <f>COUNTIF('OOS Events'!$B:$B,A14)</f>
        <v>0</v>
      </c>
      <c r="L14" s="3">
        <v>1</v>
      </c>
      <c r="M14" s="3">
        <v>26</v>
      </c>
      <c r="N14" t="s">
        <v>40</v>
      </c>
    </row>
    <row r="15" spans="1:14" ht="15" customHeight="1">
      <c r="A15" t="s">
        <v>54</v>
      </c>
      <c r="B15" t="s">
        <v>55</v>
      </c>
      <c r="C15" s="8" t="s">
        <v>33</v>
      </c>
      <c r="D15" s="9" t="s">
        <v>19</v>
      </c>
      <c r="E15" t="s">
        <v>30</v>
      </c>
      <c r="F15" s="2">
        <v>45590</v>
      </c>
      <c r="G15" s="3">
        <v>18</v>
      </c>
      <c r="H15" s="2">
        <v>45626</v>
      </c>
      <c r="I15" s="4">
        <v>45634</v>
      </c>
      <c r="J15" s="3">
        <f>COUNTIFS('OOS Events'!$C:$C,B15,'OOS Events'!$D:$D,C15,'OOS Events'!$E:$E,"&gt;="&amp;D15-90,'OOS Events'!$E:$E,"&lt;"&amp;D15)</f>
        <v>0</v>
      </c>
      <c r="K15" s="3">
        <f>COUNTIF('OOS Events'!$B:$B,A15)</f>
        <v>0</v>
      </c>
      <c r="L15" s="3">
        <v>0</v>
      </c>
      <c r="M15" s="3">
        <v>22</v>
      </c>
      <c r="N15" t="s">
        <v>35</v>
      </c>
    </row>
    <row r="16" spans="1:14" ht="15" customHeight="1">
      <c r="A16" t="s">
        <v>56</v>
      </c>
      <c r="B16" t="s">
        <v>57</v>
      </c>
      <c r="C16" s="8" t="s">
        <v>24</v>
      </c>
      <c r="D16" s="9" t="s">
        <v>25</v>
      </c>
      <c r="E16" t="s">
        <v>43</v>
      </c>
      <c r="F16" s="2">
        <v>45591</v>
      </c>
      <c r="G16" s="3">
        <v>18</v>
      </c>
      <c r="H16" s="2">
        <v>45616</v>
      </c>
      <c r="I16" s="4">
        <v>45621</v>
      </c>
      <c r="J16" s="3">
        <f>COUNTIFS('OOS Events'!$C:$C,B16,'OOS Events'!$D:$D,C16,'OOS Events'!$E:$E,"&gt;="&amp;D16-90,'OOS Events'!$E:$E,"&lt;"&amp;D16)</f>
        <v>0</v>
      </c>
      <c r="K16" s="3">
        <f>COUNTIF('OOS Events'!$B:$B,A16)</f>
        <v>2</v>
      </c>
      <c r="L16" s="3">
        <v>0</v>
      </c>
      <c r="M16" s="3">
        <v>35</v>
      </c>
      <c r="N16" t="s">
        <v>47</v>
      </c>
    </row>
    <row r="17" spans="1:14" ht="15" customHeight="1">
      <c r="A17" t="s">
        <v>58</v>
      </c>
      <c r="B17" t="s">
        <v>59</v>
      </c>
      <c r="C17" s="8" t="s">
        <v>24</v>
      </c>
      <c r="D17" s="9" t="s">
        <v>25</v>
      </c>
      <c r="E17" t="s">
        <v>60</v>
      </c>
      <c r="F17" s="2">
        <v>45591</v>
      </c>
      <c r="G17" s="3">
        <v>14</v>
      </c>
      <c r="H17" s="2">
        <v>45616</v>
      </c>
      <c r="I17" s="2">
        <v>45616</v>
      </c>
      <c r="J17" s="3">
        <f>COUNTIFS('OOS Events'!$C:$C,B17,'OOS Events'!$D:$D,C17,'OOS Events'!$E:$E,"&gt;="&amp;D17-90,'OOS Events'!$E:$E,"&lt;"&amp;D17)</f>
        <v>0</v>
      </c>
      <c r="K17" s="3">
        <f>COUNTIF('OOS Events'!$B:$B,A17)</f>
        <v>1</v>
      </c>
      <c r="L17" s="3">
        <v>0</v>
      </c>
      <c r="M17" s="3">
        <v>21</v>
      </c>
      <c r="N17" t="s">
        <v>44</v>
      </c>
    </row>
    <row r="18" spans="1:14" ht="15" customHeight="1">
      <c r="A18" t="s">
        <v>61</v>
      </c>
      <c r="B18" t="s">
        <v>62</v>
      </c>
      <c r="C18" s="8" t="s">
        <v>33</v>
      </c>
      <c r="D18" s="9" t="s">
        <v>19</v>
      </c>
      <c r="E18" t="s">
        <v>34</v>
      </c>
      <c r="F18" s="2">
        <v>45592</v>
      </c>
      <c r="G18" s="3">
        <v>14</v>
      </c>
      <c r="H18" s="2">
        <v>45631</v>
      </c>
      <c r="I18" s="4">
        <v>45636</v>
      </c>
      <c r="J18" s="3">
        <f>COUNTIFS('OOS Events'!$C:$C,B18,'OOS Events'!$D:$D,C18,'OOS Events'!$E:$E,"&gt;="&amp;D18-90,'OOS Events'!$E:$E,"&lt;"&amp;D18)</f>
        <v>0</v>
      </c>
      <c r="K18" s="3">
        <f>COUNTIF('OOS Events'!$B:$B,A18)</f>
        <v>1</v>
      </c>
      <c r="L18" s="3">
        <v>1</v>
      </c>
      <c r="M18" s="3">
        <v>19</v>
      </c>
      <c r="N18" t="s">
        <v>27</v>
      </c>
    </row>
    <row r="19" spans="1:14" ht="15" customHeight="1">
      <c r="A19" t="s">
        <v>63</v>
      </c>
      <c r="B19" t="s">
        <v>64</v>
      </c>
      <c r="C19" s="8" t="s">
        <v>24</v>
      </c>
      <c r="D19" s="9" t="s">
        <v>25</v>
      </c>
      <c r="E19" t="s">
        <v>20</v>
      </c>
      <c r="F19" s="2">
        <v>45594</v>
      </c>
      <c r="G19" s="3">
        <v>11</v>
      </c>
      <c r="H19" s="2">
        <v>45606</v>
      </c>
      <c r="I19" s="2">
        <v>45604</v>
      </c>
      <c r="J19" s="3">
        <f>COUNTIFS('OOS Events'!$C:$C,B19,'OOS Events'!$D:$D,C19,'OOS Events'!$E:$E,"&gt;="&amp;D19-90,'OOS Events'!$E:$E,"&lt;"&amp;D19)</f>
        <v>0</v>
      </c>
      <c r="K19" s="3">
        <f>COUNTIF('OOS Events'!$B:$B,A19)</f>
        <v>0</v>
      </c>
      <c r="L19" s="3">
        <v>0</v>
      </c>
      <c r="M19" s="3">
        <v>20</v>
      </c>
      <c r="N19" t="s">
        <v>21</v>
      </c>
    </row>
    <row r="20" spans="1:14" ht="15" customHeight="1">
      <c r="A20" t="s">
        <v>65</v>
      </c>
      <c r="B20" t="s">
        <v>66</v>
      </c>
      <c r="C20" s="8" t="s">
        <v>24</v>
      </c>
      <c r="D20" s="9" t="s">
        <v>25</v>
      </c>
      <c r="E20" t="s">
        <v>34</v>
      </c>
      <c r="F20" s="2">
        <v>45595</v>
      </c>
      <c r="G20" s="3">
        <v>10</v>
      </c>
      <c r="H20" s="2">
        <v>45613</v>
      </c>
      <c r="I20" s="4">
        <v>45618</v>
      </c>
      <c r="J20" s="3">
        <f>COUNTIFS('OOS Events'!$C:$C,B20,'OOS Events'!$D:$D,C20,'OOS Events'!$E:$E,"&gt;="&amp;D20-90,'OOS Events'!$E:$E,"&lt;"&amp;D20)</f>
        <v>0</v>
      </c>
      <c r="K20" s="3">
        <f>COUNTIF('OOS Events'!$B:$B,A20)</f>
        <v>1</v>
      </c>
      <c r="L20" s="3">
        <v>1</v>
      </c>
      <c r="M20" s="3">
        <v>8</v>
      </c>
      <c r="N20" t="s">
        <v>40</v>
      </c>
    </row>
    <row r="21" spans="1:14" ht="15" customHeight="1">
      <c r="A21" t="s">
        <v>67</v>
      </c>
      <c r="B21" t="s">
        <v>68</v>
      </c>
      <c r="C21" s="8" t="s">
        <v>24</v>
      </c>
      <c r="D21" s="9" t="s">
        <v>25</v>
      </c>
      <c r="E21" t="s">
        <v>30</v>
      </c>
      <c r="F21" s="2">
        <v>45596</v>
      </c>
      <c r="G21" s="3">
        <v>19</v>
      </c>
      <c r="H21" s="2">
        <v>45619</v>
      </c>
      <c r="I21" s="4">
        <v>45621</v>
      </c>
      <c r="J21" s="3">
        <f>COUNTIFS('OOS Events'!$C:$C,B21,'OOS Events'!$D:$D,C21,'OOS Events'!$E:$E,"&gt;="&amp;D21-90,'OOS Events'!$E:$E,"&lt;"&amp;D21)</f>
        <v>0</v>
      </c>
      <c r="K21" s="3">
        <f>COUNTIF('OOS Events'!$B:$B,A21)</f>
        <v>2</v>
      </c>
      <c r="L21" s="3">
        <v>0</v>
      </c>
      <c r="M21" s="3">
        <v>25</v>
      </c>
      <c r="N21" t="s">
        <v>44</v>
      </c>
    </row>
    <row r="22" spans="1:14" ht="15" customHeight="1">
      <c r="A22" t="s">
        <v>69</v>
      </c>
      <c r="B22" t="s">
        <v>70</v>
      </c>
      <c r="C22" s="8" t="s">
        <v>71</v>
      </c>
      <c r="D22" s="9" t="s">
        <v>72</v>
      </c>
      <c r="E22" t="s">
        <v>26</v>
      </c>
      <c r="F22" s="2">
        <v>45598</v>
      </c>
      <c r="G22" s="3">
        <v>18</v>
      </c>
      <c r="H22" s="2">
        <v>45625</v>
      </c>
      <c r="I22" s="4">
        <v>45627</v>
      </c>
      <c r="J22" s="3">
        <f>COUNTIFS('OOS Events'!$C:$C,B22,'OOS Events'!$D:$D,C22,'OOS Events'!$E:$E,"&gt;="&amp;D22-90,'OOS Events'!$E:$E,"&lt;"&amp;D22)</f>
        <v>0</v>
      </c>
      <c r="K22" s="3">
        <f>COUNTIF('OOS Events'!$B:$B,A22)</f>
        <v>2</v>
      </c>
      <c r="L22" s="3">
        <v>1</v>
      </c>
      <c r="M22" s="3">
        <v>19</v>
      </c>
      <c r="N22" t="s">
        <v>47</v>
      </c>
    </row>
    <row r="23" spans="1:14" ht="15" customHeight="1">
      <c r="A23" t="s">
        <v>73</v>
      </c>
      <c r="B23" t="s">
        <v>74</v>
      </c>
      <c r="C23" s="8" t="s">
        <v>75</v>
      </c>
      <c r="D23" s="9" t="s">
        <v>72</v>
      </c>
      <c r="E23" t="s">
        <v>26</v>
      </c>
      <c r="F23" s="2">
        <v>45599</v>
      </c>
      <c r="G23" s="3">
        <v>22</v>
      </c>
      <c r="H23" s="2">
        <v>45641</v>
      </c>
      <c r="I23" s="4">
        <v>45642</v>
      </c>
      <c r="J23" s="3">
        <f>COUNTIFS('OOS Events'!$C:$C,B23,'OOS Events'!$D:$D,C23,'OOS Events'!$E:$E,"&gt;="&amp;D23-90,'OOS Events'!$E:$E,"&lt;"&amp;D23)</f>
        <v>0</v>
      </c>
      <c r="K23" s="3">
        <f>COUNTIF('OOS Events'!$B:$B,A23)</f>
        <v>1</v>
      </c>
      <c r="L23" s="3">
        <v>0</v>
      </c>
      <c r="M23" s="3">
        <v>24</v>
      </c>
      <c r="N23" t="s">
        <v>27</v>
      </c>
    </row>
    <row r="24" spans="1:14" ht="15" customHeight="1">
      <c r="A24" t="s">
        <v>76</v>
      </c>
      <c r="B24" t="s">
        <v>77</v>
      </c>
      <c r="C24" s="8" t="s">
        <v>33</v>
      </c>
      <c r="D24" s="9" t="s">
        <v>19</v>
      </c>
      <c r="E24" t="s">
        <v>20</v>
      </c>
      <c r="F24" s="2">
        <v>45600</v>
      </c>
      <c r="G24" s="3">
        <v>13</v>
      </c>
      <c r="H24" s="2">
        <v>45619</v>
      </c>
      <c r="I24" s="2">
        <v>45616</v>
      </c>
      <c r="J24" s="3">
        <f>COUNTIFS('OOS Events'!$C:$C,B24,'OOS Events'!$D:$D,C24,'OOS Events'!$E:$E,"&gt;="&amp;D24-90,'OOS Events'!$E:$E,"&lt;"&amp;D24)</f>
        <v>0</v>
      </c>
      <c r="K24" s="3">
        <f>COUNTIF('OOS Events'!$B:$B,A24)</f>
        <v>0</v>
      </c>
      <c r="L24" s="3">
        <v>0</v>
      </c>
      <c r="M24" s="3">
        <v>18</v>
      </c>
      <c r="N24" t="s">
        <v>40</v>
      </c>
    </row>
    <row r="25" spans="1:14" ht="15" customHeight="1">
      <c r="A25" t="s">
        <v>78</v>
      </c>
      <c r="B25" t="s">
        <v>79</v>
      </c>
      <c r="C25" s="8" t="s">
        <v>33</v>
      </c>
      <c r="D25" s="9" t="s">
        <v>19</v>
      </c>
      <c r="E25" t="s">
        <v>20</v>
      </c>
      <c r="F25" s="2">
        <v>45603</v>
      </c>
      <c r="G25" s="3">
        <v>21</v>
      </c>
      <c r="H25" s="2">
        <v>45625</v>
      </c>
      <c r="I25" s="4">
        <v>45626</v>
      </c>
      <c r="J25" s="3">
        <f>COUNTIFS('OOS Events'!$C:$C,B25,'OOS Events'!$D:$D,C25,'OOS Events'!$E:$E,"&gt;="&amp;D25-90,'OOS Events'!$E:$E,"&lt;"&amp;D25)</f>
        <v>0</v>
      </c>
      <c r="K25" s="3">
        <f>COUNTIF('OOS Events'!$B:$B,A25)</f>
        <v>0</v>
      </c>
      <c r="L25" s="3">
        <v>0</v>
      </c>
      <c r="M25" s="3">
        <v>12</v>
      </c>
      <c r="N25" t="s">
        <v>44</v>
      </c>
    </row>
    <row r="26" spans="1:14" ht="15" customHeight="1">
      <c r="A26" t="s">
        <v>80</v>
      </c>
      <c r="B26" t="s">
        <v>81</v>
      </c>
      <c r="C26" s="8" t="s">
        <v>71</v>
      </c>
      <c r="D26" s="9" t="s">
        <v>72</v>
      </c>
      <c r="E26" t="s">
        <v>26</v>
      </c>
      <c r="F26" s="2">
        <v>45604</v>
      </c>
      <c r="G26" s="3">
        <v>17</v>
      </c>
      <c r="H26" s="2">
        <v>45646</v>
      </c>
      <c r="I26" s="2">
        <v>45645</v>
      </c>
      <c r="J26" s="3">
        <f>COUNTIFS('OOS Events'!$C:$C,B26,'OOS Events'!$D:$D,C26,'OOS Events'!$E:$E,"&gt;="&amp;D26-90,'OOS Events'!$E:$E,"&lt;"&amp;D26)</f>
        <v>0</v>
      </c>
      <c r="K26" s="3">
        <f>COUNTIF('OOS Events'!$B:$B,A26)</f>
        <v>0</v>
      </c>
      <c r="L26" s="3">
        <v>2</v>
      </c>
      <c r="M26" s="3">
        <v>25</v>
      </c>
      <c r="N26" t="s">
        <v>27</v>
      </c>
    </row>
    <row r="27" spans="1:14" ht="15" customHeight="1">
      <c r="A27" t="s">
        <v>82</v>
      </c>
      <c r="B27" t="s">
        <v>83</v>
      </c>
      <c r="C27" s="8" t="s">
        <v>33</v>
      </c>
      <c r="D27" s="9" t="s">
        <v>19</v>
      </c>
      <c r="E27" t="s">
        <v>26</v>
      </c>
      <c r="F27" s="2">
        <v>45607</v>
      </c>
      <c r="G27" s="3">
        <v>21</v>
      </c>
      <c r="H27" s="2">
        <v>45625</v>
      </c>
      <c r="I27" s="4">
        <v>45626</v>
      </c>
      <c r="J27" s="3">
        <f>COUNTIFS('OOS Events'!$C:$C,B27,'OOS Events'!$D:$D,C27,'OOS Events'!$E:$E,"&gt;="&amp;D27-90,'OOS Events'!$E:$E,"&lt;"&amp;D27)</f>
        <v>0</v>
      </c>
      <c r="K27" s="3">
        <f>COUNTIF('OOS Events'!$B:$B,A27)</f>
        <v>0</v>
      </c>
      <c r="L27" s="3">
        <v>2</v>
      </c>
      <c r="M27" s="3">
        <v>8</v>
      </c>
      <c r="N27" t="s">
        <v>40</v>
      </c>
    </row>
    <row r="28" spans="1:14" ht="15" customHeight="1">
      <c r="A28" t="s">
        <v>84</v>
      </c>
      <c r="B28" t="s">
        <v>85</v>
      </c>
      <c r="C28" s="8" t="s">
        <v>71</v>
      </c>
      <c r="D28" s="9" t="s">
        <v>72</v>
      </c>
      <c r="E28" t="s">
        <v>34</v>
      </c>
      <c r="F28" s="2">
        <v>45608</v>
      </c>
      <c r="G28" s="3">
        <v>8</v>
      </c>
      <c r="H28" s="2">
        <v>45635</v>
      </c>
      <c r="I28" s="2">
        <v>45635</v>
      </c>
      <c r="J28" s="3">
        <f>COUNTIFS('OOS Events'!$C:$C,B28,'OOS Events'!$D:$D,C28,'OOS Events'!$E:$E,"&gt;="&amp;D28-90,'OOS Events'!$E:$E,"&lt;"&amp;D28)</f>
        <v>0</v>
      </c>
      <c r="K28" s="3">
        <f>COUNTIF('OOS Events'!$B:$B,A28)</f>
        <v>0</v>
      </c>
      <c r="L28" s="3">
        <v>0</v>
      </c>
      <c r="M28" s="3">
        <v>27</v>
      </c>
      <c r="N28" t="s">
        <v>44</v>
      </c>
    </row>
    <row r="29" spans="1:14" ht="15" customHeight="1">
      <c r="A29" t="s">
        <v>86</v>
      </c>
      <c r="B29" t="s">
        <v>87</v>
      </c>
      <c r="C29" s="8" t="s">
        <v>71</v>
      </c>
      <c r="D29" s="9" t="s">
        <v>72</v>
      </c>
      <c r="E29" t="s">
        <v>20</v>
      </c>
      <c r="F29" s="2">
        <v>45609</v>
      </c>
      <c r="G29" s="3">
        <v>14</v>
      </c>
      <c r="H29" s="2">
        <v>45626</v>
      </c>
      <c r="I29" s="4">
        <v>45628</v>
      </c>
      <c r="J29" s="3">
        <f>COUNTIFS('OOS Events'!$C:$C,B29,'OOS Events'!$D:$D,C29,'OOS Events'!$E:$E,"&gt;="&amp;D29-90,'OOS Events'!$E:$E,"&lt;"&amp;D29)</f>
        <v>0</v>
      </c>
      <c r="K29" s="3">
        <f>COUNTIF('OOS Events'!$B:$B,A29)</f>
        <v>0</v>
      </c>
      <c r="L29" s="3">
        <v>0</v>
      </c>
      <c r="M29" s="3">
        <v>16</v>
      </c>
      <c r="N29" t="s">
        <v>21</v>
      </c>
    </row>
    <row r="30" spans="1:14" ht="15" customHeight="1">
      <c r="A30" t="s">
        <v>88</v>
      </c>
      <c r="B30" t="s">
        <v>89</v>
      </c>
      <c r="C30" s="8" t="s">
        <v>24</v>
      </c>
      <c r="D30" s="9" t="s">
        <v>25</v>
      </c>
      <c r="E30" t="s">
        <v>43</v>
      </c>
      <c r="F30" s="2">
        <v>45611</v>
      </c>
      <c r="G30" s="3">
        <v>19</v>
      </c>
      <c r="H30" s="2">
        <v>45652</v>
      </c>
      <c r="I30" s="4">
        <v>45660</v>
      </c>
      <c r="J30" s="3">
        <f>COUNTIFS('OOS Events'!$C:$C,B30,'OOS Events'!$D:$D,C30,'OOS Events'!$E:$E,"&gt;="&amp;D30-90,'OOS Events'!$E:$E,"&lt;"&amp;D30)</f>
        <v>0</v>
      </c>
      <c r="K30" s="3">
        <f>COUNTIF('OOS Events'!$B:$B,A30)</f>
        <v>0</v>
      </c>
      <c r="L30" s="3">
        <v>0</v>
      </c>
      <c r="M30" s="3">
        <v>42</v>
      </c>
      <c r="N30" t="s">
        <v>27</v>
      </c>
    </row>
    <row r="31" spans="1:14" ht="15" customHeight="1">
      <c r="A31" t="s">
        <v>90</v>
      </c>
      <c r="B31" t="s">
        <v>91</v>
      </c>
      <c r="C31" s="8" t="s">
        <v>24</v>
      </c>
      <c r="D31" s="9" t="s">
        <v>25</v>
      </c>
      <c r="E31" t="s">
        <v>60</v>
      </c>
      <c r="F31" s="2">
        <v>45612</v>
      </c>
      <c r="G31" s="3">
        <v>18</v>
      </c>
      <c r="H31" s="2">
        <v>45630</v>
      </c>
      <c r="I31" s="2">
        <v>45630</v>
      </c>
      <c r="J31" s="3">
        <f>COUNTIFS('OOS Events'!$C:$C,B31,'OOS Events'!$D:$D,C31,'OOS Events'!$E:$E,"&gt;="&amp;D31-90,'OOS Events'!$E:$E,"&lt;"&amp;D31)</f>
        <v>0</v>
      </c>
      <c r="K31" s="3">
        <f>COUNTIF('OOS Events'!$B:$B,A31)</f>
        <v>1</v>
      </c>
      <c r="L31" s="3">
        <v>2</v>
      </c>
      <c r="M31" s="3">
        <v>10</v>
      </c>
      <c r="N31" t="s">
        <v>40</v>
      </c>
    </row>
    <row r="32" spans="1:14" ht="15" customHeight="1">
      <c r="A32" t="s">
        <v>92</v>
      </c>
      <c r="B32" t="s">
        <v>17</v>
      </c>
      <c r="C32" s="8" t="s">
        <v>18</v>
      </c>
      <c r="D32" s="9" t="s">
        <v>19</v>
      </c>
      <c r="E32" t="s">
        <v>34</v>
      </c>
      <c r="F32" s="2">
        <v>45613</v>
      </c>
      <c r="G32" s="3">
        <v>11</v>
      </c>
      <c r="H32" s="2">
        <v>45640</v>
      </c>
      <c r="I32" s="4">
        <v>45642</v>
      </c>
      <c r="J32" s="3">
        <f>COUNTIFS('OOS Events'!$C:$C,B32,'OOS Events'!$D:$D,C32,'OOS Events'!$E:$E,"&gt;="&amp;D32-90,'OOS Events'!$E:$E,"&lt;"&amp;D32)</f>
        <v>0</v>
      </c>
      <c r="K32" s="3">
        <f>COUNTIF('OOS Events'!$B:$B,A32)</f>
        <v>0</v>
      </c>
      <c r="L32" s="3">
        <v>0</v>
      </c>
      <c r="M32" s="3">
        <v>27</v>
      </c>
      <c r="N32" t="s">
        <v>44</v>
      </c>
    </row>
    <row r="33" spans="1:14" ht="15" customHeight="1">
      <c r="A33" t="s">
        <v>93</v>
      </c>
      <c r="B33" t="s">
        <v>23</v>
      </c>
      <c r="C33" s="8" t="s">
        <v>24</v>
      </c>
      <c r="D33" s="9" t="s">
        <v>25</v>
      </c>
      <c r="E33" t="s">
        <v>26</v>
      </c>
      <c r="F33" s="2">
        <v>45613</v>
      </c>
      <c r="G33" s="3">
        <v>21</v>
      </c>
      <c r="H33" s="2">
        <v>45643</v>
      </c>
      <c r="I33" s="4">
        <v>45655</v>
      </c>
      <c r="J33" s="3">
        <f>COUNTIFS('OOS Events'!$C:$C,B33,'OOS Events'!$D:$D,C33,'OOS Events'!$E:$E,"&gt;="&amp;D33-90,'OOS Events'!$E:$E,"&lt;"&amp;D33)</f>
        <v>0</v>
      </c>
      <c r="K33" s="3">
        <f>COUNTIF('OOS Events'!$B:$B,A33)</f>
        <v>0</v>
      </c>
      <c r="L33" s="3">
        <v>0</v>
      </c>
      <c r="M33" s="3">
        <v>20</v>
      </c>
      <c r="N33" t="s">
        <v>47</v>
      </c>
    </row>
    <row r="34" spans="1:14" ht="15" customHeight="1">
      <c r="A34" t="s">
        <v>94</v>
      </c>
      <c r="B34" t="s">
        <v>29</v>
      </c>
      <c r="C34" s="8" t="s">
        <v>24</v>
      </c>
      <c r="D34" s="9" t="s">
        <v>25</v>
      </c>
      <c r="E34" t="s">
        <v>60</v>
      </c>
      <c r="F34" s="2">
        <v>45615</v>
      </c>
      <c r="G34" s="3">
        <v>16</v>
      </c>
      <c r="H34" s="2">
        <v>45641</v>
      </c>
      <c r="I34" s="2">
        <v>45641</v>
      </c>
      <c r="J34" s="3">
        <f>COUNTIFS('OOS Events'!$C:$C,B34,'OOS Events'!$D:$D,C34,'OOS Events'!$E:$E,"&gt;="&amp;D34-90,'OOS Events'!$E:$E,"&lt;"&amp;D34)</f>
        <v>0</v>
      </c>
      <c r="K34" s="3">
        <f>COUNTIF('OOS Events'!$B:$B,A34)</f>
        <v>0</v>
      </c>
      <c r="L34" s="3">
        <v>1</v>
      </c>
      <c r="M34" s="3">
        <v>27</v>
      </c>
      <c r="N34" t="s">
        <v>44</v>
      </c>
    </row>
    <row r="35" spans="1:14" ht="15" customHeight="1">
      <c r="A35" t="s">
        <v>95</v>
      </c>
      <c r="B35" t="s">
        <v>32</v>
      </c>
      <c r="C35" s="8" t="s">
        <v>33</v>
      </c>
      <c r="D35" s="9" t="s">
        <v>19</v>
      </c>
      <c r="E35" t="s">
        <v>34</v>
      </c>
      <c r="F35" s="2">
        <v>45616</v>
      </c>
      <c r="G35" s="3">
        <v>17</v>
      </c>
      <c r="H35" s="2">
        <v>45658</v>
      </c>
      <c r="I35" s="4">
        <v>45661</v>
      </c>
      <c r="J35" s="3">
        <f>COUNTIFS('OOS Events'!$C:$C,B35,'OOS Events'!$D:$D,C35,'OOS Events'!$E:$E,"&gt;="&amp;D35-90,'OOS Events'!$E:$E,"&lt;"&amp;D35)</f>
        <v>0</v>
      </c>
      <c r="K35" s="3">
        <f>COUNTIF('OOS Events'!$B:$B,A35)</f>
        <v>2</v>
      </c>
      <c r="L35" s="3">
        <v>2</v>
      </c>
      <c r="M35" s="3">
        <v>46</v>
      </c>
      <c r="N35" t="s">
        <v>27</v>
      </c>
    </row>
    <row r="36" spans="1:14" ht="15" customHeight="1">
      <c r="A36" t="s">
        <v>96</v>
      </c>
      <c r="B36" t="s">
        <v>97</v>
      </c>
      <c r="C36" s="8" t="s">
        <v>18</v>
      </c>
      <c r="D36" s="9" t="s">
        <v>19</v>
      </c>
      <c r="E36" t="s">
        <v>26</v>
      </c>
      <c r="F36" s="2">
        <v>45617</v>
      </c>
      <c r="G36" s="3">
        <v>26</v>
      </c>
      <c r="H36" s="2">
        <v>45638</v>
      </c>
      <c r="I36" s="2">
        <v>45638</v>
      </c>
      <c r="J36" s="3">
        <f>COUNTIFS('OOS Events'!$C:$C,B36,'OOS Events'!$D:$D,C36,'OOS Events'!$E:$E,"&gt;="&amp;D36-90,'OOS Events'!$E:$E,"&lt;"&amp;D36)</f>
        <v>0</v>
      </c>
      <c r="K36" s="3">
        <f>COUNTIF('OOS Events'!$B:$B,A36)</f>
        <v>2</v>
      </c>
      <c r="L36" s="3">
        <v>0</v>
      </c>
      <c r="M36" s="3">
        <v>34</v>
      </c>
      <c r="N36" t="s">
        <v>40</v>
      </c>
    </row>
    <row r="37" spans="1:14" ht="15" customHeight="1">
      <c r="A37" t="s">
        <v>98</v>
      </c>
      <c r="B37" t="s">
        <v>42</v>
      </c>
      <c r="C37" s="8" t="s">
        <v>24</v>
      </c>
      <c r="D37" s="9" t="s">
        <v>25</v>
      </c>
      <c r="E37" t="s">
        <v>43</v>
      </c>
      <c r="F37" s="2">
        <v>45617</v>
      </c>
      <c r="G37" s="3">
        <v>19</v>
      </c>
      <c r="H37" s="2">
        <v>45650</v>
      </c>
      <c r="I37" s="4">
        <v>45652</v>
      </c>
      <c r="J37" s="3">
        <f>COUNTIFS('OOS Events'!$C:$C,B37,'OOS Events'!$D:$D,C37,'OOS Events'!$E:$E,"&gt;="&amp;D37-90,'OOS Events'!$E:$E,"&lt;"&amp;D37)</f>
        <v>0</v>
      </c>
      <c r="K37" s="3">
        <f>COUNTIF('OOS Events'!$B:$B,A37)</f>
        <v>0</v>
      </c>
      <c r="L37" s="3">
        <v>0</v>
      </c>
      <c r="M37" s="3">
        <v>46</v>
      </c>
      <c r="N37" t="s">
        <v>35</v>
      </c>
    </row>
    <row r="38" spans="1:14" ht="15" customHeight="1">
      <c r="A38" t="s">
        <v>99</v>
      </c>
      <c r="B38" t="s">
        <v>46</v>
      </c>
      <c r="C38" s="8" t="s">
        <v>24</v>
      </c>
      <c r="D38" s="9" t="s">
        <v>25</v>
      </c>
      <c r="E38" t="s">
        <v>20</v>
      </c>
      <c r="F38" s="2">
        <v>45619</v>
      </c>
      <c r="G38" s="3">
        <v>21</v>
      </c>
      <c r="H38" s="2">
        <v>45643</v>
      </c>
      <c r="I38" s="2">
        <v>45643</v>
      </c>
      <c r="J38" s="3">
        <f>COUNTIFS('OOS Events'!$C:$C,B38,'OOS Events'!$D:$D,C38,'OOS Events'!$E:$E,"&gt;="&amp;D38-90,'OOS Events'!$E:$E,"&lt;"&amp;D38)</f>
        <v>0</v>
      </c>
      <c r="K38" s="3">
        <f>COUNTIF('OOS Events'!$B:$B,A38)</f>
        <v>0</v>
      </c>
      <c r="L38" s="3">
        <v>0</v>
      </c>
      <c r="M38" s="3">
        <v>25</v>
      </c>
      <c r="N38" t="s">
        <v>40</v>
      </c>
    </row>
    <row r="39" spans="1:14" ht="15" customHeight="1">
      <c r="A39" t="s">
        <v>100</v>
      </c>
      <c r="B39" t="s">
        <v>49</v>
      </c>
      <c r="C39" s="8" t="s">
        <v>33</v>
      </c>
      <c r="D39" s="9" t="s">
        <v>19</v>
      </c>
      <c r="E39" t="s">
        <v>30</v>
      </c>
      <c r="F39" s="2">
        <v>45620</v>
      </c>
      <c r="G39" s="3">
        <v>12</v>
      </c>
      <c r="H39" s="2">
        <v>45643</v>
      </c>
      <c r="I39" s="2">
        <v>45642</v>
      </c>
      <c r="J39" s="3">
        <f>COUNTIFS('OOS Events'!$C:$C,B39,'OOS Events'!$D:$D,C39,'OOS Events'!$E:$E,"&gt;="&amp;D39-90,'OOS Events'!$E:$E,"&lt;"&amp;D39)</f>
        <v>0</v>
      </c>
      <c r="K39" s="3">
        <f>COUNTIF('OOS Events'!$B:$B,A39)</f>
        <v>0</v>
      </c>
      <c r="L39" s="3">
        <v>2</v>
      </c>
      <c r="M39" s="3">
        <v>10</v>
      </c>
      <c r="N39" t="s">
        <v>44</v>
      </c>
    </row>
    <row r="40" spans="1:14" ht="15" customHeight="1">
      <c r="A40" t="s">
        <v>101</v>
      </c>
      <c r="B40" t="s">
        <v>51</v>
      </c>
      <c r="C40" s="8" t="s">
        <v>38</v>
      </c>
      <c r="D40" s="9" t="s">
        <v>39</v>
      </c>
      <c r="E40" t="s">
        <v>43</v>
      </c>
      <c r="F40" s="2">
        <v>45620</v>
      </c>
      <c r="G40" s="3">
        <v>19</v>
      </c>
      <c r="H40" s="2">
        <v>45653</v>
      </c>
      <c r="I40" s="2">
        <v>45653</v>
      </c>
      <c r="J40" s="3">
        <f>COUNTIFS('OOS Events'!$C:$C,B40,'OOS Events'!$D:$D,C40,'OOS Events'!$E:$E,"&gt;="&amp;D40-90,'OOS Events'!$E:$E,"&lt;"&amp;D40)</f>
        <v>0</v>
      </c>
      <c r="K40" s="3">
        <f>COUNTIF('OOS Events'!$B:$B,A40)</f>
        <v>0</v>
      </c>
      <c r="L40" s="3">
        <v>0</v>
      </c>
      <c r="M40" s="3">
        <v>32</v>
      </c>
      <c r="N40" t="s">
        <v>47</v>
      </c>
    </row>
    <row r="41" spans="1:14" ht="15" customHeight="1">
      <c r="A41" t="s">
        <v>102</v>
      </c>
      <c r="B41" t="s">
        <v>53</v>
      </c>
      <c r="C41" s="8" t="s">
        <v>24</v>
      </c>
      <c r="D41" s="9" t="s">
        <v>25</v>
      </c>
      <c r="E41" t="s">
        <v>60</v>
      </c>
      <c r="F41" s="2">
        <v>45621</v>
      </c>
      <c r="G41" s="3">
        <v>22</v>
      </c>
      <c r="H41" s="2">
        <v>45634</v>
      </c>
      <c r="I41" s="4">
        <v>45637</v>
      </c>
      <c r="J41" s="3">
        <f>COUNTIFS('OOS Events'!$C:$C,B41,'OOS Events'!$D:$D,C41,'OOS Events'!$E:$E,"&gt;="&amp;D41-90,'OOS Events'!$E:$E,"&lt;"&amp;D41)</f>
        <v>0</v>
      </c>
      <c r="K41" s="3">
        <f>COUNTIF('OOS Events'!$B:$B,A41)</f>
        <v>1</v>
      </c>
      <c r="L41" s="3">
        <v>0</v>
      </c>
      <c r="M41" s="3">
        <v>21</v>
      </c>
      <c r="N41" t="s">
        <v>21</v>
      </c>
    </row>
    <row r="42" spans="1:14" ht="15" customHeight="1">
      <c r="A42" t="s">
        <v>103</v>
      </c>
      <c r="B42" t="s">
        <v>55</v>
      </c>
      <c r="C42" s="8" t="s">
        <v>33</v>
      </c>
      <c r="D42" s="9" t="s">
        <v>19</v>
      </c>
      <c r="E42" t="s">
        <v>30</v>
      </c>
      <c r="F42" s="2">
        <v>45623</v>
      </c>
      <c r="G42" s="3">
        <v>10</v>
      </c>
      <c r="H42" s="2">
        <v>45657</v>
      </c>
      <c r="I42" s="4">
        <v>45659</v>
      </c>
      <c r="J42" s="3">
        <f>COUNTIFS('OOS Events'!$C:$C,B42,'OOS Events'!$D:$D,C42,'OOS Events'!$E:$E,"&gt;="&amp;D42-90,'OOS Events'!$E:$E,"&lt;"&amp;D42)</f>
        <v>0</v>
      </c>
      <c r="K42" s="3">
        <f>COUNTIF('OOS Events'!$B:$B,A42)</f>
        <v>0</v>
      </c>
      <c r="L42" s="3">
        <v>1</v>
      </c>
      <c r="M42" s="3">
        <v>39</v>
      </c>
      <c r="N42" t="s">
        <v>27</v>
      </c>
    </row>
    <row r="43" spans="1:14" ht="15" customHeight="1">
      <c r="A43" t="s">
        <v>104</v>
      </c>
      <c r="B43" t="s">
        <v>57</v>
      </c>
      <c r="C43" s="8" t="s">
        <v>24</v>
      </c>
      <c r="D43" s="9" t="s">
        <v>25</v>
      </c>
      <c r="E43" t="s">
        <v>20</v>
      </c>
      <c r="F43" s="2">
        <v>45624</v>
      </c>
      <c r="G43" s="3">
        <v>16</v>
      </c>
      <c r="H43" s="2">
        <v>45644</v>
      </c>
      <c r="I43" s="4">
        <v>45649</v>
      </c>
      <c r="J43" s="3">
        <f>COUNTIFS('OOS Events'!$C:$C,B43,'OOS Events'!$D:$D,C43,'OOS Events'!$E:$E,"&gt;="&amp;D43-90,'OOS Events'!$E:$E,"&lt;"&amp;D43)</f>
        <v>0</v>
      </c>
      <c r="K43" s="3">
        <f>COUNTIF('OOS Events'!$B:$B,A43)</f>
        <v>0</v>
      </c>
      <c r="L43" s="3">
        <v>0</v>
      </c>
      <c r="M43" s="3">
        <v>13</v>
      </c>
      <c r="N43" t="s">
        <v>40</v>
      </c>
    </row>
    <row r="44" spans="1:14" ht="15" customHeight="1">
      <c r="A44" t="s">
        <v>105</v>
      </c>
      <c r="B44" t="s">
        <v>59</v>
      </c>
      <c r="C44" s="8" t="s">
        <v>24</v>
      </c>
      <c r="D44" s="9" t="s">
        <v>25</v>
      </c>
      <c r="E44" t="s">
        <v>60</v>
      </c>
      <c r="F44" s="2">
        <v>45624</v>
      </c>
      <c r="G44" s="3">
        <v>22</v>
      </c>
      <c r="H44" s="2">
        <v>45660</v>
      </c>
      <c r="I44" s="4">
        <v>45665</v>
      </c>
      <c r="J44" s="3">
        <f>COUNTIFS('OOS Events'!$C:$C,B44,'OOS Events'!$D:$D,C44,'OOS Events'!$E:$E,"&gt;="&amp;D44-90,'OOS Events'!$E:$E,"&lt;"&amp;D44)</f>
        <v>0</v>
      </c>
      <c r="K44" s="3">
        <f>COUNTIF('OOS Events'!$B:$B,A44)</f>
        <v>0</v>
      </c>
      <c r="L44" s="3">
        <v>0</v>
      </c>
      <c r="M44" s="3">
        <v>46</v>
      </c>
      <c r="N44" t="s">
        <v>35</v>
      </c>
    </row>
    <row r="45" spans="1:14" ht="15" customHeight="1">
      <c r="A45" t="s">
        <v>106</v>
      </c>
      <c r="B45" t="s">
        <v>62</v>
      </c>
      <c r="C45" s="8" t="s">
        <v>33</v>
      </c>
      <c r="D45" s="9" t="s">
        <v>19</v>
      </c>
      <c r="E45" t="s">
        <v>20</v>
      </c>
      <c r="F45" s="2">
        <v>45625</v>
      </c>
      <c r="G45" s="3">
        <v>19</v>
      </c>
      <c r="H45" s="2">
        <v>45654</v>
      </c>
      <c r="I45" s="4">
        <v>45657</v>
      </c>
      <c r="J45" s="3">
        <f>COUNTIFS('OOS Events'!$C:$C,B45,'OOS Events'!$D:$D,C45,'OOS Events'!$E:$E,"&gt;="&amp;D45-90,'OOS Events'!$E:$E,"&lt;"&amp;D45)</f>
        <v>0</v>
      </c>
      <c r="K45" s="3">
        <f>COUNTIF('OOS Events'!$B:$B,A45)</f>
        <v>0</v>
      </c>
      <c r="L45" s="3">
        <v>0</v>
      </c>
      <c r="M45" s="3">
        <v>30</v>
      </c>
      <c r="N45" t="s">
        <v>47</v>
      </c>
    </row>
    <row r="46" spans="1:14" ht="15" customHeight="1">
      <c r="A46" t="s">
        <v>107</v>
      </c>
      <c r="B46" t="s">
        <v>64</v>
      </c>
      <c r="C46" s="8" t="s">
        <v>24</v>
      </c>
      <c r="D46" s="9" t="s">
        <v>25</v>
      </c>
      <c r="E46" t="s">
        <v>20</v>
      </c>
      <c r="F46" s="2">
        <v>45627</v>
      </c>
      <c r="G46" s="3">
        <v>25</v>
      </c>
      <c r="H46" s="2">
        <v>45652</v>
      </c>
      <c r="I46" s="4">
        <v>45654</v>
      </c>
      <c r="J46" s="3">
        <f>COUNTIFS('OOS Events'!$C:$C,B46,'OOS Events'!$D:$D,C46,'OOS Events'!$E:$E,"&gt;="&amp;D46-90,'OOS Events'!$E:$E,"&lt;"&amp;D46)</f>
        <v>0</v>
      </c>
      <c r="K46" s="3">
        <f>COUNTIF('OOS Events'!$B:$B,A46)</f>
        <v>0</v>
      </c>
      <c r="L46" s="3">
        <v>0</v>
      </c>
      <c r="M46" s="3">
        <v>23</v>
      </c>
      <c r="N46" t="s">
        <v>44</v>
      </c>
    </row>
    <row r="47" spans="1:14" ht="15" customHeight="1">
      <c r="A47" t="s">
        <v>108</v>
      </c>
      <c r="B47" t="s">
        <v>109</v>
      </c>
      <c r="C47" s="8" t="s">
        <v>24</v>
      </c>
      <c r="D47" s="9" t="s">
        <v>25</v>
      </c>
      <c r="E47" t="s">
        <v>60</v>
      </c>
      <c r="F47" s="2">
        <v>45628</v>
      </c>
      <c r="G47" s="3">
        <v>28</v>
      </c>
      <c r="H47" s="2">
        <v>45663</v>
      </c>
      <c r="I47" s="2">
        <v>45661</v>
      </c>
      <c r="J47" s="3">
        <f>COUNTIFS('OOS Events'!$C:$C,B47,'OOS Events'!$D:$D,C47,'OOS Events'!$E:$E,"&gt;="&amp;D47-90,'OOS Events'!$E:$E,"&lt;"&amp;D47)</f>
        <v>0</v>
      </c>
      <c r="K47" s="3">
        <f>COUNTIF('OOS Events'!$B:$B,A47)</f>
        <v>0</v>
      </c>
      <c r="L47" s="3">
        <v>0</v>
      </c>
      <c r="M47" s="3">
        <v>36</v>
      </c>
      <c r="N47" t="s">
        <v>27</v>
      </c>
    </row>
    <row r="48" spans="1:14" ht="15" customHeight="1">
      <c r="A48" t="s">
        <v>110</v>
      </c>
      <c r="B48" t="s">
        <v>66</v>
      </c>
      <c r="C48" s="8" t="s">
        <v>24</v>
      </c>
      <c r="D48" s="9" t="s">
        <v>25</v>
      </c>
      <c r="E48" t="s">
        <v>34</v>
      </c>
      <c r="F48" s="2">
        <v>45628</v>
      </c>
      <c r="G48" s="3">
        <v>19</v>
      </c>
      <c r="H48" s="2">
        <v>45648</v>
      </c>
      <c r="I48" s="2">
        <v>45648</v>
      </c>
      <c r="J48" s="3">
        <f>COUNTIFS('OOS Events'!$C:$C,B48,'OOS Events'!$D:$D,C48,'OOS Events'!$E:$E,"&gt;="&amp;D48-90,'OOS Events'!$E:$E,"&lt;"&amp;D48)</f>
        <v>0</v>
      </c>
      <c r="K48" s="3">
        <f>COUNTIF('OOS Events'!$B:$B,A48)</f>
        <v>1</v>
      </c>
      <c r="L48" s="3">
        <v>0</v>
      </c>
      <c r="M48" s="3">
        <v>27</v>
      </c>
      <c r="N48" t="s">
        <v>21</v>
      </c>
    </row>
    <row r="49" spans="1:14" ht="15" customHeight="1">
      <c r="A49" t="s">
        <v>111</v>
      </c>
      <c r="B49" t="s">
        <v>68</v>
      </c>
      <c r="C49" s="8" t="s">
        <v>24</v>
      </c>
      <c r="D49" s="9" t="s">
        <v>25</v>
      </c>
      <c r="E49" t="s">
        <v>30</v>
      </c>
      <c r="F49" s="2">
        <v>45629</v>
      </c>
      <c r="G49" s="3">
        <v>16</v>
      </c>
      <c r="H49" s="2">
        <v>45664</v>
      </c>
      <c r="I49" s="2">
        <v>45664</v>
      </c>
      <c r="J49" s="3">
        <f>COUNTIFS('OOS Events'!$C:$C,B49,'OOS Events'!$D:$D,C49,'OOS Events'!$E:$E,"&gt;="&amp;D49-90,'OOS Events'!$E:$E,"&lt;"&amp;D49)</f>
        <v>0</v>
      </c>
      <c r="K49" s="3">
        <f>COUNTIF('OOS Events'!$B:$B,A49)</f>
        <v>2</v>
      </c>
      <c r="L49" s="3">
        <v>1</v>
      </c>
      <c r="M49" s="3">
        <v>30</v>
      </c>
      <c r="N49" t="s">
        <v>35</v>
      </c>
    </row>
    <row r="50" spans="1:14" ht="15" customHeight="1">
      <c r="A50" t="s">
        <v>112</v>
      </c>
      <c r="B50" t="s">
        <v>70</v>
      </c>
      <c r="C50" s="8" t="s">
        <v>71</v>
      </c>
      <c r="D50" s="9" t="s">
        <v>72</v>
      </c>
      <c r="E50" t="s">
        <v>26</v>
      </c>
      <c r="F50" s="2">
        <v>45631</v>
      </c>
      <c r="G50" s="3">
        <v>16</v>
      </c>
      <c r="H50" s="2">
        <v>45654</v>
      </c>
      <c r="I50" s="4">
        <v>45655</v>
      </c>
      <c r="J50" s="3">
        <f>COUNTIFS('OOS Events'!$C:$C,B50,'OOS Events'!$D:$D,C50,'OOS Events'!$E:$E,"&gt;="&amp;D50-90,'OOS Events'!$E:$E,"&lt;"&amp;D50)</f>
        <v>0</v>
      </c>
      <c r="K50" s="3">
        <f>COUNTIF('OOS Events'!$B:$B,A50)</f>
        <v>1</v>
      </c>
      <c r="L50" s="3">
        <v>2</v>
      </c>
      <c r="M50" s="3">
        <v>15</v>
      </c>
      <c r="N50" t="s">
        <v>40</v>
      </c>
    </row>
    <row r="51" spans="1:14" ht="15" customHeight="1">
      <c r="A51" t="s">
        <v>113</v>
      </c>
      <c r="B51" t="s">
        <v>74</v>
      </c>
      <c r="C51" s="8" t="s">
        <v>75</v>
      </c>
      <c r="D51" s="9" t="s">
        <v>72</v>
      </c>
      <c r="E51" t="s">
        <v>30</v>
      </c>
      <c r="F51" s="2">
        <v>45632</v>
      </c>
      <c r="G51" s="3">
        <v>17</v>
      </c>
      <c r="H51" s="2">
        <v>45657</v>
      </c>
      <c r="I51" s="4">
        <v>45660</v>
      </c>
      <c r="J51" s="3">
        <f>COUNTIFS('OOS Events'!$C:$C,B51,'OOS Events'!$D:$D,C51,'OOS Events'!$E:$E,"&gt;="&amp;D51-90,'OOS Events'!$E:$E,"&lt;"&amp;D51)</f>
        <v>0</v>
      </c>
      <c r="K51" s="3">
        <f>COUNTIF('OOS Events'!$B:$B,A51)</f>
        <v>0</v>
      </c>
      <c r="L51" s="3">
        <v>1</v>
      </c>
      <c r="M51" s="3">
        <v>18</v>
      </c>
      <c r="N51" t="s">
        <v>47</v>
      </c>
    </row>
    <row r="52" spans="1:14" ht="15" customHeight="1">
      <c r="A52" t="s">
        <v>114</v>
      </c>
      <c r="B52" t="s">
        <v>77</v>
      </c>
      <c r="C52" s="8" t="s">
        <v>33</v>
      </c>
      <c r="D52" s="9" t="s">
        <v>19</v>
      </c>
      <c r="E52" t="s">
        <v>20</v>
      </c>
      <c r="F52" s="2">
        <v>45633</v>
      </c>
      <c r="G52" s="3">
        <v>23</v>
      </c>
      <c r="H52" s="2">
        <v>45648</v>
      </c>
      <c r="I52" s="2">
        <v>45646</v>
      </c>
      <c r="J52" s="3">
        <f>COUNTIFS('OOS Events'!$C:$C,B52,'OOS Events'!$D:$D,C52,'OOS Events'!$E:$E,"&gt;="&amp;D52-90,'OOS Events'!$E:$E,"&lt;"&amp;D52)</f>
        <v>0</v>
      </c>
      <c r="K52" s="3">
        <f>COUNTIF('OOS Events'!$B:$B,A52)</f>
        <v>0</v>
      </c>
      <c r="L52" s="3">
        <v>1</v>
      </c>
      <c r="M52" s="3">
        <v>18</v>
      </c>
      <c r="N52" t="s">
        <v>21</v>
      </c>
    </row>
    <row r="53" spans="1:14" ht="15" customHeight="1">
      <c r="A53" t="s">
        <v>115</v>
      </c>
      <c r="B53" t="s">
        <v>79</v>
      </c>
      <c r="C53" s="8" t="s">
        <v>33</v>
      </c>
      <c r="D53" s="9" t="s">
        <v>19</v>
      </c>
      <c r="E53" t="s">
        <v>43</v>
      </c>
      <c r="F53" s="2">
        <v>45636</v>
      </c>
      <c r="G53" s="3">
        <v>20</v>
      </c>
      <c r="H53" s="2">
        <v>45671</v>
      </c>
      <c r="I53" s="4">
        <v>45676</v>
      </c>
      <c r="J53" s="3">
        <f>COUNTIFS('OOS Events'!$C:$C,B53,'OOS Events'!$D:$D,C53,'OOS Events'!$E:$E,"&gt;="&amp;D53-90,'OOS Events'!$E:$E,"&lt;"&amp;D53)</f>
        <v>0</v>
      </c>
      <c r="K53" s="3">
        <f>COUNTIF('OOS Events'!$B:$B,A53)</f>
        <v>0</v>
      </c>
      <c r="L53" s="3">
        <v>0</v>
      </c>
      <c r="M53" s="3">
        <v>38</v>
      </c>
      <c r="N53" t="s">
        <v>35</v>
      </c>
    </row>
    <row r="54" spans="1:14" ht="15" customHeight="1">
      <c r="A54" t="s">
        <v>116</v>
      </c>
      <c r="B54" t="s">
        <v>81</v>
      </c>
      <c r="C54" s="8" t="s">
        <v>71</v>
      </c>
      <c r="D54" s="9" t="s">
        <v>72</v>
      </c>
      <c r="E54" t="s">
        <v>26</v>
      </c>
      <c r="F54" s="2">
        <v>45637</v>
      </c>
      <c r="G54" s="3">
        <v>21</v>
      </c>
      <c r="H54" s="2">
        <v>45669</v>
      </c>
      <c r="I54" s="4">
        <v>45671</v>
      </c>
      <c r="J54" s="3">
        <f>COUNTIFS('OOS Events'!$C:$C,B54,'OOS Events'!$D:$D,C54,'OOS Events'!$E:$E,"&gt;="&amp;D54-90,'OOS Events'!$E:$E,"&lt;"&amp;D54)</f>
        <v>0</v>
      </c>
      <c r="K54" s="3">
        <f>COUNTIF('OOS Events'!$B:$B,A54)</f>
        <v>0</v>
      </c>
      <c r="L54" s="3">
        <v>0</v>
      </c>
      <c r="M54" s="3">
        <v>12</v>
      </c>
      <c r="N54" t="s">
        <v>47</v>
      </c>
    </row>
    <row r="55" spans="1:14" ht="15" customHeight="1">
      <c r="A55" t="s">
        <v>117</v>
      </c>
      <c r="B55" t="s">
        <v>83</v>
      </c>
      <c r="C55" s="8" t="s">
        <v>33</v>
      </c>
      <c r="D55" s="9" t="s">
        <v>19</v>
      </c>
      <c r="E55" t="s">
        <v>26</v>
      </c>
      <c r="F55" s="2">
        <v>45640</v>
      </c>
      <c r="G55" s="3">
        <v>17</v>
      </c>
      <c r="H55" s="2">
        <v>45657</v>
      </c>
      <c r="I55" s="2">
        <v>45655</v>
      </c>
      <c r="J55" s="3">
        <f>COUNTIFS('OOS Events'!$C:$C,B55,'OOS Events'!$D:$D,C55,'OOS Events'!$E:$E,"&gt;="&amp;D55-90,'OOS Events'!$E:$E,"&lt;"&amp;D55)</f>
        <v>0</v>
      </c>
      <c r="K55" s="3">
        <f>COUNTIF('OOS Events'!$B:$B,A55)</f>
        <v>2</v>
      </c>
      <c r="L55" s="3">
        <v>3</v>
      </c>
      <c r="M55" s="3">
        <v>34</v>
      </c>
      <c r="N55" t="s">
        <v>21</v>
      </c>
    </row>
    <row r="56" spans="1:14" ht="15" customHeight="1">
      <c r="A56" t="s">
        <v>118</v>
      </c>
      <c r="B56" t="s">
        <v>85</v>
      </c>
      <c r="C56" s="8" t="s">
        <v>71</v>
      </c>
      <c r="D56" s="9" t="s">
        <v>72</v>
      </c>
      <c r="E56" t="s">
        <v>43</v>
      </c>
      <c r="F56" s="2">
        <v>45641</v>
      </c>
      <c r="G56" s="3">
        <v>17</v>
      </c>
      <c r="H56" s="2">
        <v>45671</v>
      </c>
      <c r="I56" s="4">
        <v>45676</v>
      </c>
      <c r="J56" s="3">
        <f>COUNTIFS('OOS Events'!$C:$C,B56,'OOS Events'!$D:$D,C56,'OOS Events'!$E:$E,"&gt;="&amp;D56-90,'OOS Events'!$E:$E,"&lt;"&amp;D56)</f>
        <v>0</v>
      </c>
      <c r="K56" s="3">
        <f>COUNTIF('OOS Events'!$B:$B,A56)</f>
        <v>2</v>
      </c>
      <c r="L56" s="3">
        <v>1</v>
      </c>
      <c r="M56" s="3">
        <v>37</v>
      </c>
      <c r="N56" t="s">
        <v>35</v>
      </c>
    </row>
    <row r="57" spans="1:14" ht="15" customHeight="1">
      <c r="A57" t="s">
        <v>119</v>
      </c>
      <c r="B57" t="s">
        <v>89</v>
      </c>
      <c r="C57" s="8" t="s">
        <v>24</v>
      </c>
      <c r="D57" s="9" t="s">
        <v>25</v>
      </c>
      <c r="E57" t="s">
        <v>43</v>
      </c>
      <c r="F57" s="2">
        <v>45644</v>
      </c>
      <c r="G57" s="3">
        <v>21</v>
      </c>
      <c r="H57" s="2">
        <v>45669</v>
      </c>
      <c r="I57" s="2">
        <v>45669</v>
      </c>
      <c r="J57" s="3">
        <f>COUNTIFS('OOS Events'!$C:$C,B57,'OOS Events'!$D:$D,C57,'OOS Events'!$E:$E,"&gt;="&amp;D57-90,'OOS Events'!$E:$E,"&lt;"&amp;D57)</f>
        <v>0</v>
      </c>
      <c r="K57" s="3">
        <f>COUNTIF('OOS Events'!$B:$B,A57)</f>
        <v>1</v>
      </c>
      <c r="L57" s="3">
        <v>1</v>
      </c>
      <c r="M57" s="3">
        <v>21</v>
      </c>
      <c r="N57" t="s">
        <v>47</v>
      </c>
    </row>
    <row r="58" spans="1:14" ht="15" customHeight="1">
      <c r="A58" t="s">
        <v>120</v>
      </c>
      <c r="B58" t="s">
        <v>91</v>
      </c>
      <c r="C58" s="8" t="s">
        <v>24</v>
      </c>
      <c r="D58" s="9" t="s">
        <v>25</v>
      </c>
      <c r="E58" t="s">
        <v>30</v>
      </c>
      <c r="F58" s="2">
        <v>45645</v>
      </c>
      <c r="G58" s="3">
        <v>19</v>
      </c>
      <c r="H58" s="2">
        <v>45659</v>
      </c>
      <c r="I58" s="2">
        <v>45659</v>
      </c>
      <c r="J58" s="3">
        <f>COUNTIFS('OOS Events'!$C:$C,B58,'OOS Events'!$D:$D,C58,'OOS Events'!$E:$E,"&gt;="&amp;D58-90,'OOS Events'!$E:$E,"&lt;"&amp;D58)</f>
        <v>0</v>
      </c>
      <c r="K58" s="3">
        <f>COUNTIF('OOS Events'!$B:$B,A58)</f>
        <v>0</v>
      </c>
      <c r="L58" s="3">
        <v>1</v>
      </c>
      <c r="M58" s="3">
        <v>26</v>
      </c>
      <c r="N58" t="s">
        <v>21</v>
      </c>
    </row>
    <row r="59" spans="1:14" ht="15" customHeight="1">
      <c r="A59" t="s">
        <v>121</v>
      </c>
      <c r="B59" t="s">
        <v>17</v>
      </c>
      <c r="C59" s="8" t="s">
        <v>18</v>
      </c>
      <c r="D59" s="9" t="s">
        <v>19</v>
      </c>
      <c r="E59" t="s">
        <v>34</v>
      </c>
      <c r="F59" s="2">
        <v>45646</v>
      </c>
      <c r="G59" s="3">
        <v>10</v>
      </c>
      <c r="H59" s="2">
        <v>45678</v>
      </c>
      <c r="I59" s="4">
        <v>45680</v>
      </c>
      <c r="J59" s="3">
        <f>COUNTIFS('OOS Events'!$C:$C,B59,'OOS Events'!$D:$D,C59,'OOS Events'!$E:$E,"&gt;="&amp;D59-90,'OOS Events'!$E:$E,"&lt;"&amp;D59)</f>
        <v>0</v>
      </c>
      <c r="K59" s="3">
        <f>COUNTIF('OOS Events'!$B:$B,A59)</f>
        <v>0</v>
      </c>
      <c r="L59" s="3">
        <v>1</v>
      </c>
      <c r="M59" s="3">
        <v>19</v>
      </c>
      <c r="N59" t="s">
        <v>35</v>
      </c>
    </row>
    <row r="60" spans="1:14" ht="15" customHeight="1">
      <c r="A60" t="s">
        <v>122</v>
      </c>
      <c r="B60" t="s">
        <v>23</v>
      </c>
      <c r="C60" s="8" t="s">
        <v>24</v>
      </c>
      <c r="D60" s="9" t="s">
        <v>25</v>
      </c>
      <c r="E60" t="s">
        <v>26</v>
      </c>
      <c r="F60" s="2">
        <v>45646</v>
      </c>
      <c r="G60" s="3">
        <v>17</v>
      </c>
      <c r="H60" s="2">
        <v>45670</v>
      </c>
      <c r="I60" s="2">
        <v>45669</v>
      </c>
      <c r="J60" s="3">
        <f>COUNTIFS('OOS Events'!$C:$C,B60,'OOS Events'!$D:$D,C60,'OOS Events'!$E:$E,"&gt;="&amp;D60-90,'OOS Events'!$E:$E,"&lt;"&amp;D60)</f>
        <v>0</v>
      </c>
      <c r="K60" s="3">
        <f>COUNTIF('OOS Events'!$B:$B,A60)</f>
        <v>1</v>
      </c>
      <c r="L60" s="3">
        <v>1</v>
      </c>
      <c r="M60" s="3">
        <v>34</v>
      </c>
      <c r="N60" t="s">
        <v>40</v>
      </c>
    </row>
    <row r="61" spans="1:14" ht="15" customHeight="1">
      <c r="A61" t="s">
        <v>123</v>
      </c>
      <c r="B61" t="s">
        <v>29</v>
      </c>
      <c r="C61" s="8" t="s">
        <v>24</v>
      </c>
      <c r="D61" s="9" t="s">
        <v>25</v>
      </c>
      <c r="E61" t="s">
        <v>60</v>
      </c>
      <c r="F61" s="2">
        <v>45648</v>
      </c>
      <c r="G61" s="3">
        <v>21</v>
      </c>
      <c r="H61" s="2">
        <v>45683</v>
      </c>
      <c r="I61" s="2">
        <v>45683</v>
      </c>
      <c r="J61" s="3">
        <f>COUNTIFS('OOS Events'!$C:$C,B61,'OOS Events'!$D:$D,C61,'OOS Events'!$E:$E,"&gt;="&amp;D61-90,'OOS Events'!$E:$E,"&lt;"&amp;D61)</f>
        <v>0</v>
      </c>
      <c r="K61" s="3">
        <f>COUNTIF('OOS Events'!$B:$B,A61)</f>
        <v>0</v>
      </c>
      <c r="L61" s="3">
        <v>0</v>
      </c>
      <c r="M61" s="3">
        <v>39</v>
      </c>
      <c r="N61" t="s">
        <v>35</v>
      </c>
    </row>
    <row r="62" spans="1:14" ht="15" customHeight="1">
      <c r="A62" t="s">
        <v>124</v>
      </c>
      <c r="B62" t="s">
        <v>32</v>
      </c>
      <c r="C62" s="8" t="s">
        <v>33</v>
      </c>
      <c r="D62" s="9" t="s">
        <v>19</v>
      </c>
      <c r="E62" t="s">
        <v>34</v>
      </c>
      <c r="F62" s="2">
        <v>45649</v>
      </c>
      <c r="G62" s="3">
        <v>8</v>
      </c>
      <c r="H62" s="2">
        <v>45677</v>
      </c>
      <c r="I62" s="4">
        <v>45680</v>
      </c>
      <c r="J62" s="3">
        <f>COUNTIFS('OOS Events'!$C:$C,B62,'OOS Events'!$D:$D,C62,'OOS Events'!$E:$E,"&gt;="&amp;D62-90,'OOS Events'!$E:$E,"&lt;"&amp;D62)</f>
        <v>0</v>
      </c>
      <c r="K62" s="3">
        <f>COUNTIF('OOS Events'!$B:$B,A62)</f>
        <v>1</v>
      </c>
      <c r="L62" s="3">
        <v>1</v>
      </c>
      <c r="M62" s="3">
        <v>35</v>
      </c>
      <c r="N62" t="s">
        <v>47</v>
      </c>
    </row>
    <row r="63" spans="1:14" ht="15" customHeight="1">
      <c r="A63" t="s">
        <v>125</v>
      </c>
      <c r="B63" t="s">
        <v>97</v>
      </c>
      <c r="C63" s="8" t="s">
        <v>18</v>
      </c>
      <c r="D63" s="9" t="s">
        <v>19</v>
      </c>
      <c r="E63" t="s">
        <v>30</v>
      </c>
      <c r="F63" s="2">
        <v>45650</v>
      </c>
      <c r="G63" s="3">
        <v>20</v>
      </c>
      <c r="H63" s="2">
        <v>45662</v>
      </c>
      <c r="I63" s="2">
        <v>45662</v>
      </c>
      <c r="J63" s="3">
        <f>COUNTIFS('OOS Events'!$C:$C,B63,'OOS Events'!$D:$D,C63,'OOS Events'!$E:$E,"&gt;="&amp;D63-90,'OOS Events'!$E:$E,"&lt;"&amp;D63)</f>
        <v>0</v>
      </c>
      <c r="K63" s="3">
        <f>COUNTIF('OOS Events'!$B:$B,A63)</f>
        <v>1</v>
      </c>
      <c r="L63" s="3">
        <v>0</v>
      </c>
      <c r="M63" s="3">
        <v>14</v>
      </c>
      <c r="N63" t="s">
        <v>21</v>
      </c>
    </row>
    <row r="64" spans="1:14" ht="15" customHeight="1">
      <c r="A64" t="s">
        <v>126</v>
      </c>
      <c r="B64" t="s">
        <v>42</v>
      </c>
      <c r="C64" s="8" t="s">
        <v>24</v>
      </c>
      <c r="D64" s="9" t="s">
        <v>25</v>
      </c>
      <c r="E64" t="s">
        <v>43</v>
      </c>
      <c r="F64" s="2">
        <v>45650</v>
      </c>
      <c r="G64" s="3">
        <v>26</v>
      </c>
      <c r="H64" s="2">
        <v>45685</v>
      </c>
      <c r="I64" s="2">
        <v>45685</v>
      </c>
      <c r="J64" s="3">
        <f>COUNTIFS('OOS Events'!$C:$C,B64,'OOS Events'!$D:$D,C64,'OOS Events'!$E:$E,"&gt;="&amp;D64-90,'OOS Events'!$E:$E,"&lt;"&amp;D64)</f>
        <v>0</v>
      </c>
      <c r="K64" s="3">
        <f>COUNTIF('OOS Events'!$B:$B,A64)</f>
        <v>0</v>
      </c>
      <c r="L64" s="3">
        <v>0</v>
      </c>
      <c r="M64" s="3">
        <v>25</v>
      </c>
      <c r="N64" t="s">
        <v>27</v>
      </c>
    </row>
    <row r="65" spans="1:14" ht="15" customHeight="1">
      <c r="A65" t="s">
        <v>127</v>
      </c>
      <c r="B65" t="s">
        <v>46</v>
      </c>
      <c r="C65" s="8" t="s">
        <v>24</v>
      </c>
      <c r="D65" s="9" t="s">
        <v>25</v>
      </c>
      <c r="E65" t="s">
        <v>34</v>
      </c>
      <c r="F65" s="2">
        <v>45652</v>
      </c>
      <c r="G65" s="3">
        <v>10</v>
      </c>
      <c r="H65" s="2">
        <v>45667</v>
      </c>
      <c r="I65" s="2">
        <v>45665</v>
      </c>
      <c r="J65" s="3">
        <f>COUNTIFS('OOS Events'!$C:$C,B65,'OOS Events'!$D:$D,C65,'OOS Events'!$E:$E,"&gt;="&amp;D65-90,'OOS Events'!$E:$E,"&lt;"&amp;D65)</f>
        <v>0</v>
      </c>
      <c r="K65" s="3">
        <f>COUNTIF('OOS Events'!$B:$B,A65)</f>
        <v>1</v>
      </c>
      <c r="L65" s="3">
        <v>0</v>
      </c>
      <c r="M65" s="3">
        <v>16</v>
      </c>
      <c r="N65" t="s">
        <v>21</v>
      </c>
    </row>
    <row r="66" spans="1:14" ht="15" customHeight="1">
      <c r="A66" t="s">
        <v>128</v>
      </c>
      <c r="B66" t="s">
        <v>49</v>
      </c>
      <c r="C66" s="8" t="s">
        <v>33</v>
      </c>
      <c r="D66" s="9" t="s">
        <v>19</v>
      </c>
      <c r="E66" t="s">
        <v>30</v>
      </c>
      <c r="F66" s="2">
        <v>45653</v>
      </c>
      <c r="G66" s="3">
        <v>17</v>
      </c>
      <c r="H66" s="2">
        <v>45686</v>
      </c>
      <c r="I66" s="4">
        <v>45687</v>
      </c>
      <c r="J66" s="3">
        <f>COUNTIFS('OOS Events'!$C:$C,B66,'OOS Events'!$D:$D,C66,'OOS Events'!$E:$E,"&gt;="&amp;D66-90,'OOS Events'!$E:$E,"&lt;"&amp;D66)</f>
        <v>0</v>
      </c>
      <c r="K66" s="3">
        <f>COUNTIF('OOS Events'!$B:$B,A66)</f>
        <v>0</v>
      </c>
      <c r="L66" s="3">
        <v>1</v>
      </c>
      <c r="M66" s="3">
        <v>39</v>
      </c>
      <c r="N66" t="s">
        <v>35</v>
      </c>
    </row>
    <row r="67" spans="1:14" ht="15" customHeight="1">
      <c r="A67" t="s">
        <v>129</v>
      </c>
      <c r="B67" t="s">
        <v>130</v>
      </c>
      <c r="C67" s="8" t="s">
        <v>71</v>
      </c>
      <c r="D67" s="9" t="s">
        <v>72</v>
      </c>
      <c r="E67" t="s">
        <v>43</v>
      </c>
      <c r="F67" s="2">
        <v>45654</v>
      </c>
      <c r="G67" s="3">
        <v>26</v>
      </c>
      <c r="H67" s="2">
        <v>45687</v>
      </c>
      <c r="I67" s="2">
        <v>45686</v>
      </c>
      <c r="J67" s="3">
        <f>COUNTIFS('OOS Events'!$C:$C,B67,'OOS Events'!$D:$D,C67,'OOS Events'!$E:$E,"&gt;="&amp;D67-90,'OOS Events'!$E:$E,"&lt;"&amp;D67)</f>
        <v>0</v>
      </c>
      <c r="K67" s="3">
        <f>COUNTIF('OOS Events'!$B:$B,A67)</f>
        <v>1</v>
      </c>
      <c r="L67" s="3">
        <v>0</v>
      </c>
      <c r="M67" s="3">
        <v>17</v>
      </c>
      <c r="N67" t="s">
        <v>47</v>
      </c>
    </row>
    <row r="68" spans="1:14" ht="15" customHeight="1">
      <c r="A68" t="s">
        <v>131</v>
      </c>
      <c r="B68" t="s">
        <v>53</v>
      </c>
      <c r="C68" s="8" t="s">
        <v>24</v>
      </c>
      <c r="D68" s="9" t="s">
        <v>25</v>
      </c>
      <c r="E68" t="s">
        <v>60</v>
      </c>
      <c r="F68" s="2">
        <v>45654</v>
      </c>
      <c r="G68" s="3">
        <v>16</v>
      </c>
      <c r="H68" s="2">
        <v>45675</v>
      </c>
      <c r="I68" s="4">
        <v>45687</v>
      </c>
      <c r="J68" s="3">
        <f>COUNTIFS('OOS Events'!$C:$C,B68,'OOS Events'!$D:$D,C68,'OOS Events'!$E:$E,"&gt;="&amp;D68-90,'OOS Events'!$E:$E,"&lt;"&amp;D68)</f>
        <v>0</v>
      </c>
      <c r="K68" s="3">
        <f>COUNTIF('OOS Events'!$B:$B,A68)</f>
        <v>0</v>
      </c>
      <c r="L68" s="3">
        <v>0</v>
      </c>
      <c r="M68" s="3">
        <v>32</v>
      </c>
      <c r="N68" t="s">
        <v>44</v>
      </c>
    </row>
    <row r="69" spans="1:14" ht="15" customHeight="1">
      <c r="A69" t="s">
        <v>132</v>
      </c>
      <c r="B69" t="s">
        <v>55</v>
      </c>
      <c r="C69" s="8" t="s">
        <v>33</v>
      </c>
      <c r="D69" s="9" t="s">
        <v>19</v>
      </c>
      <c r="E69" t="s">
        <v>26</v>
      </c>
      <c r="F69" s="2">
        <v>45656</v>
      </c>
      <c r="G69" s="3">
        <v>17</v>
      </c>
      <c r="H69" s="2">
        <v>45689</v>
      </c>
      <c r="I69" s="4">
        <v>45694</v>
      </c>
      <c r="J69" s="3">
        <f>COUNTIFS('OOS Events'!$C:$C,B69,'OOS Events'!$D:$D,C69,'OOS Events'!$E:$E,"&gt;="&amp;D69-90,'OOS Events'!$E:$E,"&lt;"&amp;D69)</f>
        <v>0</v>
      </c>
      <c r="K69" s="3">
        <f>COUNTIF('OOS Events'!$B:$B,A69)</f>
        <v>0</v>
      </c>
      <c r="L69" s="3">
        <v>0</v>
      </c>
      <c r="M69" s="3">
        <v>10</v>
      </c>
      <c r="N69" t="s">
        <v>47</v>
      </c>
    </row>
    <row r="70" spans="1:14" ht="15" customHeight="1">
      <c r="A70" t="s">
        <v>133</v>
      </c>
      <c r="B70" t="s">
        <v>57</v>
      </c>
      <c r="C70" s="8" t="s">
        <v>24</v>
      </c>
      <c r="D70" s="9" t="s">
        <v>25</v>
      </c>
      <c r="E70" t="s">
        <v>20</v>
      </c>
      <c r="F70" s="2">
        <v>45657</v>
      </c>
      <c r="G70" s="3">
        <v>13</v>
      </c>
      <c r="H70" s="2">
        <v>45671</v>
      </c>
      <c r="I70" s="4">
        <v>45673</v>
      </c>
      <c r="J70" s="3">
        <f>COUNTIFS('OOS Events'!$C:$C,B70,'OOS Events'!$D:$D,C70,'OOS Events'!$E:$E,"&gt;="&amp;D70-90,'OOS Events'!$E:$E,"&lt;"&amp;D70)</f>
        <v>0</v>
      </c>
      <c r="K70" s="3">
        <f>COUNTIF('OOS Events'!$B:$B,A70)</f>
        <v>0</v>
      </c>
      <c r="L70" s="3">
        <v>1</v>
      </c>
      <c r="M70" s="3">
        <v>20</v>
      </c>
      <c r="N70" t="s">
        <v>21</v>
      </c>
    </row>
    <row r="71" spans="1:14" ht="15" customHeight="1">
      <c r="A71" t="s">
        <v>134</v>
      </c>
      <c r="B71" t="s">
        <v>59</v>
      </c>
      <c r="C71" s="8" t="s">
        <v>24</v>
      </c>
      <c r="D71" s="9" t="s">
        <v>25</v>
      </c>
      <c r="E71" t="s">
        <v>60</v>
      </c>
      <c r="F71" s="2">
        <v>45657</v>
      </c>
      <c r="G71" s="3">
        <v>25</v>
      </c>
      <c r="H71" s="2">
        <v>45694</v>
      </c>
      <c r="I71" s="2">
        <v>45694</v>
      </c>
      <c r="J71" s="3">
        <f>COUNTIFS('OOS Events'!$C:$C,B71,'OOS Events'!$D:$D,C71,'OOS Events'!$E:$E,"&gt;="&amp;D71-90,'OOS Events'!$E:$E,"&lt;"&amp;D71)</f>
        <v>0</v>
      </c>
      <c r="K71" s="3">
        <f>COUNTIF('OOS Events'!$B:$B,A71)</f>
        <v>0</v>
      </c>
      <c r="L71" s="3">
        <v>0</v>
      </c>
      <c r="M71" s="3">
        <v>43</v>
      </c>
      <c r="N71" t="s">
        <v>27</v>
      </c>
    </row>
    <row r="72" spans="1:14" ht="15" customHeight="1">
      <c r="A72" t="s">
        <v>135</v>
      </c>
      <c r="B72" t="s">
        <v>62</v>
      </c>
      <c r="C72" s="8" t="s">
        <v>33</v>
      </c>
      <c r="D72" s="9" t="s">
        <v>19</v>
      </c>
      <c r="E72" t="s">
        <v>34</v>
      </c>
      <c r="F72" s="2">
        <v>45658</v>
      </c>
      <c r="G72" s="3">
        <v>10</v>
      </c>
      <c r="H72" s="2">
        <v>45677</v>
      </c>
      <c r="I72" s="4">
        <v>45679</v>
      </c>
      <c r="J72" s="3">
        <f>COUNTIFS('OOS Events'!$C:$C,B72,'OOS Events'!$D:$D,C72,'OOS Events'!$E:$E,"&gt;="&amp;D72-90,'OOS Events'!$E:$E,"&lt;"&amp;D72)</f>
        <v>0</v>
      </c>
      <c r="K72" s="3">
        <f>COUNTIF('OOS Events'!$B:$B,A72)</f>
        <v>0</v>
      </c>
      <c r="L72" s="3">
        <v>0</v>
      </c>
      <c r="M72" s="3">
        <v>15</v>
      </c>
      <c r="N72" t="s">
        <v>40</v>
      </c>
    </row>
    <row r="73" spans="1:14" ht="15" customHeight="1">
      <c r="A73" t="s">
        <v>136</v>
      </c>
      <c r="B73" t="s">
        <v>64</v>
      </c>
      <c r="C73" s="8" t="s">
        <v>24</v>
      </c>
      <c r="D73" s="9" t="s">
        <v>25</v>
      </c>
      <c r="E73" t="s">
        <v>20</v>
      </c>
      <c r="F73" s="2">
        <v>45660</v>
      </c>
      <c r="G73" s="3">
        <v>13</v>
      </c>
      <c r="H73" s="2">
        <v>45691</v>
      </c>
      <c r="I73" s="2">
        <v>45689</v>
      </c>
      <c r="J73" s="3">
        <f>COUNTIFS('OOS Events'!$C:$C,B73,'OOS Events'!$D:$D,C73,'OOS Events'!$E:$E,"&gt;="&amp;D73-90,'OOS Events'!$E:$E,"&lt;"&amp;D73)</f>
        <v>0</v>
      </c>
      <c r="K73" s="3">
        <f>COUNTIF('OOS Events'!$B:$B,A73)</f>
        <v>0</v>
      </c>
      <c r="L73" s="3">
        <v>1</v>
      </c>
      <c r="M73" s="3">
        <v>45</v>
      </c>
      <c r="N73" t="s">
        <v>35</v>
      </c>
    </row>
    <row r="74" spans="1:14" ht="15" customHeight="1">
      <c r="A74" t="s">
        <v>137</v>
      </c>
      <c r="B74" t="s">
        <v>109</v>
      </c>
      <c r="C74" s="8" t="s">
        <v>24</v>
      </c>
      <c r="D74" s="9" t="s">
        <v>25</v>
      </c>
      <c r="E74" t="s">
        <v>26</v>
      </c>
      <c r="F74" s="2">
        <v>45661</v>
      </c>
      <c r="G74" s="3">
        <v>22</v>
      </c>
      <c r="H74" s="2">
        <v>45690</v>
      </c>
      <c r="I74" s="4">
        <v>45691</v>
      </c>
      <c r="J74" s="3">
        <f>COUNTIFS('OOS Events'!$C:$C,B74,'OOS Events'!$D:$D,C74,'OOS Events'!$E:$E,"&gt;="&amp;D74-90,'OOS Events'!$E:$E,"&lt;"&amp;D74)</f>
        <v>0</v>
      </c>
      <c r="K74" s="3">
        <f>COUNTIF('OOS Events'!$B:$B,A74)</f>
        <v>0</v>
      </c>
      <c r="L74" s="3">
        <v>2</v>
      </c>
      <c r="M74" s="3">
        <v>18</v>
      </c>
      <c r="N74" t="s">
        <v>47</v>
      </c>
    </row>
    <row r="75" spans="1:14" ht="15" customHeight="1">
      <c r="A75" t="s">
        <v>138</v>
      </c>
      <c r="B75" t="s">
        <v>66</v>
      </c>
      <c r="C75" s="8" t="s">
        <v>24</v>
      </c>
      <c r="D75" s="9" t="s">
        <v>25</v>
      </c>
      <c r="E75" t="s">
        <v>34</v>
      </c>
      <c r="F75" s="2">
        <v>45661</v>
      </c>
      <c r="G75" s="3">
        <v>14</v>
      </c>
      <c r="H75" s="2">
        <v>45689</v>
      </c>
      <c r="I75" s="2">
        <v>45688</v>
      </c>
      <c r="J75" s="3">
        <f>COUNTIFS('OOS Events'!$C:$C,B75,'OOS Events'!$D:$D,C75,'OOS Events'!$E:$E,"&gt;="&amp;D75-90,'OOS Events'!$E:$E,"&lt;"&amp;D75)</f>
        <v>0</v>
      </c>
      <c r="K75" s="3">
        <f>COUNTIF('OOS Events'!$B:$B,A75)</f>
        <v>0</v>
      </c>
      <c r="L75" s="3">
        <v>0</v>
      </c>
      <c r="M75" s="3">
        <v>26</v>
      </c>
      <c r="N75" t="s">
        <v>44</v>
      </c>
    </row>
    <row r="76" spans="1:14" ht="15" customHeight="1">
      <c r="A76" t="s">
        <v>139</v>
      </c>
      <c r="B76" t="s">
        <v>68</v>
      </c>
      <c r="C76" s="8" t="s">
        <v>24</v>
      </c>
      <c r="D76" s="9" t="s">
        <v>25</v>
      </c>
      <c r="E76" t="s">
        <v>26</v>
      </c>
      <c r="F76" s="2">
        <v>45662</v>
      </c>
      <c r="G76" s="3">
        <v>23</v>
      </c>
      <c r="H76" s="2">
        <v>45704</v>
      </c>
      <c r="I76" s="4">
        <v>45705</v>
      </c>
      <c r="J76" s="3">
        <f>COUNTIFS('OOS Events'!$C:$C,B76,'OOS Events'!$D:$D,C76,'OOS Events'!$E:$E,"&gt;="&amp;D76-90,'OOS Events'!$E:$E,"&lt;"&amp;D76)</f>
        <v>0</v>
      </c>
      <c r="K76" s="3">
        <f>COUNTIF('OOS Events'!$B:$B,A76)</f>
        <v>0</v>
      </c>
      <c r="L76" s="3">
        <v>0</v>
      </c>
      <c r="M76" s="3">
        <v>31</v>
      </c>
      <c r="N76" t="s">
        <v>27</v>
      </c>
    </row>
    <row r="77" spans="1:14" ht="15" customHeight="1">
      <c r="A77" t="s">
        <v>140</v>
      </c>
      <c r="B77" t="s">
        <v>70</v>
      </c>
      <c r="C77" s="8" t="s">
        <v>71</v>
      </c>
      <c r="D77" s="9" t="s">
        <v>72</v>
      </c>
      <c r="E77" t="s">
        <v>26</v>
      </c>
      <c r="F77" s="2">
        <v>45664</v>
      </c>
      <c r="G77" s="3">
        <v>18</v>
      </c>
      <c r="H77" s="2">
        <v>45677</v>
      </c>
      <c r="I77" s="2">
        <v>45677</v>
      </c>
      <c r="J77" s="3">
        <f>COUNTIFS('OOS Events'!$C:$C,B77,'OOS Events'!$D:$D,C77,'OOS Events'!$E:$E,"&gt;="&amp;D77-90,'OOS Events'!$E:$E,"&lt;"&amp;D77)</f>
        <v>0</v>
      </c>
      <c r="K77" s="3">
        <f>COUNTIF('OOS Events'!$B:$B,A77)</f>
        <v>0</v>
      </c>
      <c r="L77" s="3">
        <v>2</v>
      </c>
      <c r="M77" s="3">
        <v>8</v>
      </c>
      <c r="N77" t="s">
        <v>21</v>
      </c>
    </row>
    <row r="78" spans="1:14" ht="15" customHeight="1">
      <c r="A78" t="s">
        <v>141</v>
      </c>
      <c r="B78" t="s">
        <v>142</v>
      </c>
      <c r="C78" s="8" t="s">
        <v>71</v>
      </c>
      <c r="D78" s="9" t="s">
        <v>72</v>
      </c>
      <c r="E78" t="s">
        <v>34</v>
      </c>
      <c r="F78" s="2">
        <v>45665</v>
      </c>
      <c r="G78" s="3">
        <v>21</v>
      </c>
      <c r="H78" s="2">
        <v>45694</v>
      </c>
      <c r="I78" s="4">
        <v>45699</v>
      </c>
      <c r="J78" s="3">
        <f>COUNTIFS('OOS Events'!$C:$C,B78,'OOS Events'!$D:$D,C78,'OOS Events'!$E:$E,"&gt;="&amp;D78-90,'OOS Events'!$E:$E,"&lt;"&amp;D78)</f>
        <v>0</v>
      </c>
      <c r="K78" s="3">
        <f>COUNTIF('OOS Events'!$B:$B,A78)</f>
        <v>0</v>
      </c>
      <c r="L78" s="3">
        <v>1</v>
      </c>
      <c r="M78" s="3">
        <v>42</v>
      </c>
      <c r="N78" t="s">
        <v>35</v>
      </c>
    </row>
    <row r="79" spans="1:14" ht="15" customHeight="1">
      <c r="A79" t="s">
        <v>143</v>
      </c>
      <c r="B79" t="s">
        <v>74</v>
      </c>
      <c r="C79" s="8" t="s">
        <v>75</v>
      </c>
      <c r="D79" s="9" t="s">
        <v>72</v>
      </c>
      <c r="E79" t="s">
        <v>30</v>
      </c>
      <c r="F79" s="2">
        <v>45665</v>
      </c>
      <c r="G79" s="3">
        <v>19</v>
      </c>
      <c r="H79" s="2">
        <v>45685</v>
      </c>
      <c r="I79" s="4">
        <v>45688</v>
      </c>
      <c r="J79" s="3">
        <f>COUNTIFS('OOS Events'!$C:$C,B79,'OOS Events'!$D:$D,C79,'OOS Events'!$E:$E,"&gt;="&amp;D79-90,'OOS Events'!$E:$E,"&lt;"&amp;D79)</f>
        <v>0</v>
      </c>
      <c r="K79" s="3">
        <f>COUNTIF('OOS Events'!$B:$B,A79)</f>
        <v>0</v>
      </c>
      <c r="L79" s="3">
        <v>1</v>
      </c>
      <c r="M79" s="3">
        <v>36</v>
      </c>
      <c r="N79" t="s">
        <v>40</v>
      </c>
    </row>
    <row r="80" spans="1:14" ht="15" customHeight="1">
      <c r="A80" t="s">
        <v>144</v>
      </c>
      <c r="B80" t="s">
        <v>77</v>
      </c>
      <c r="C80" s="8" t="s">
        <v>33</v>
      </c>
      <c r="D80" s="9" t="s">
        <v>19</v>
      </c>
      <c r="E80" t="s">
        <v>20</v>
      </c>
      <c r="F80" s="2">
        <v>45666</v>
      </c>
      <c r="G80" s="3">
        <v>18</v>
      </c>
      <c r="H80" s="2">
        <v>45693</v>
      </c>
      <c r="I80" s="4">
        <v>45705</v>
      </c>
      <c r="J80" s="3">
        <f>COUNTIFS('OOS Events'!$C:$C,B80,'OOS Events'!$D:$D,C80,'OOS Events'!$E:$E,"&gt;="&amp;D80-90,'OOS Events'!$E:$E,"&lt;"&amp;D80)</f>
        <v>0</v>
      </c>
      <c r="K80" s="3">
        <f>COUNTIF('OOS Events'!$B:$B,A80)</f>
        <v>0</v>
      </c>
      <c r="L80" s="3">
        <v>1</v>
      </c>
      <c r="M80" s="3">
        <v>21</v>
      </c>
      <c r="N80" t="s">
        <v>44</v>
      </c>
    </row>
    <row r="81" spans="1:14" ht="15" customHeight="1">
      <c r="A81" t="s">
        <v>145</v>
      </c>
      <c r="B81" t="s">
        <v>79</v>
      </c>
      <c r="C81" s="8" t="s">
        <v>33</v>
      </c>
      <c r="D81" s="9" t="s">
        <v>19</v>
      </c>
      <c r="E81" t="s">
        <v>20</v>
      </c>
      <c r="F81" s="2">
        <v>45669</v>
      </c>
      <c r="G81" s="3">
        <v>17</v>
      </c>
      <c r="H81" s="2">
        <v>45710</v>
      </c>
      <c r="I81" s="2">
        <v>45710</v>
      </c>
      <c r="J81" s="3">
        <f>COUNTIFS('OOS Events'!$C:$C,B81,'OOS Events'!$D:$D,C81,'OOS Events'!$E:$E,"&gt;="&amp;D81-90,'OOS Events'!$E:$E,"&lt;"&amp;D81)</f>
        <v>0</v>
      </c>
      <c r="K81" s="3">
        <f>COUNTIF('OOS Events'!$B:$B,A81)</f>
        <v>0</v>
      </c>
      <c r="L81" s="3">
        <v>0</v>
      </c>
      <c r="M81" s="3">
        <v>43</v>
      </c>
      <c r="N81" t="s">
        <v>27</v>
      </c>
    </row>
    <row r="82" spans="1:14" ht="15" customHeight="1">
      <c r="A82" t="s">
        <v>146</v>
      </c>
      <c r="B82" t="s">
        <v>81</v>
      </c>
      <c r="C82" s="8" t="s">
        <v>71</v>
      </c>
      <c r="D82" s="9" t="s">
        <v>72</v>
      </c>
      <c r="E82" t="s">
        <v>26</v>
      </c>
      <c r="F82" s="2">
        <v>45670</v>
      </c>
      <c r="G82" s="3">
        <v>27</v>
      </c>
      <c r="H82" s="2">
        <v>45690</v>
      </c>
      <c r="I82" s="4">
        <v>45691</v>
      </c>
      <c r="J82" s="3">
        <f>COUNTIFS('OOS Events'!$C:$C,B82,'OOS Events'!$D:$D,C82,'OOS Events'!$E:$E,"&gt;="&amp;D82-90,'OOS Events'!$E:$E,"&lt;"&amp;D82)</f>
        <v>0</v>
      </c>
      <c r="K82" s="3">
        <f>COUNTIF('OOS Events'!$B:$B,A82)</f>
        <v>0</v>
      </c>
      <c r="L82" s="3">
        <v>2</v>
      </c>
      <c r="M82" s="3">
        <v>36</v>
      </c>
      <c r="N82" t="s">
        <v>40</v>
      </c>
    </row>
    <row r="83" spans="1:14" ht="15" customHeight="1">
      <c r="A83" t="s">
        <v>147</v>
      </c>
      <c r="B83" t="s">
        <v>83</v>
      </c>
      <c r="C83" s="8" t="s">
        <v>33</v>
      </c>
      <c r="D83" s="9" t="s">
        <v>19</v>
      </c>
      <c r="E83" t="s">
        <v>60</v>
      </c>
      <c r="F83" s="2">
        <v>45673</v>
      </c>
      <c r="G83" s="3">
        <v>24</v>
      </c>
      <c r="H83" s="2">
        <v>45695</v>
      </c>
      <c r="I83" s="2">
        <v>45695</v>
      </c>
      <c r="J83" s="3">
        <f>COUNTIFS('OOS Events'!$C:$C,B83,'OOS Events'!$D:$D,C83,'OOS Events'!$E:$E,"&gt;="&amp;D83-90,'OOS Events'!$E:$E,"&lt;"&amp;D83)</f>
        <v>0</v>
      </c>
      <c r="K83" s="3">
        <f>COUNTIF('OOS Events'!$B:$B,A83)</f>
        <v>0</v>
      </c>
      <c r="L83" s="3">
        <v>0</v>
      </c>
      <c r="M83" s="3">
        <v>11</v>
      </c>
      <c r="N83" t="s">
        <v>44</v>
      </c>
    </row>
    <row r="84" spans="1:14" ht="15" customHeight="1">
      <c r="A84" t="s">
        <v>148</v>
      </c>
      <c r="B84" t="s">
        <v>85</v>
      </c>
      <c r="C84" s="8" t="s">
        <v>71</v>
      </c>
      <c r="D84" s="9" t="s">
        <v>72</v>
      </c>
      <c r="E84" t="s">
        <v>43</v>
      </c>
      <c r="F84" s="2">
        <v>45674</v>
      </c>
      <c r="G84" s="3">
        <v>20</v>
      </c>
      <c r="H84" s="2">
        <v>45708</v>
      </c>
      <c r="I84" s="4">
        <v>45711</v>
      </c>
      <c r="J84" s="3">
        <f>COUNTIFS('OOS Events'!$C:$C,B84,'OOS Events'!$D:$D,C84,'OOS Events'!$E:$E,"&gt;="&amp;D84-90,'OOS Events'!$E:$E,"&lt;"&amp;D84)</f>
        <v>0</v>
      </c>
      <c r="K84" s="3">
        <f>COUNTIF('OOS Events'!$B:$B,A84)</f>
        <v>1</v>
      </c>
      <c r="L84" s="3">
        <v>0</v>
      </c>
      <c r="M84" s="3">
        <v>46</v>
      </c>
      <c r="N84" t="s">
        <v>27</v>
      </c>
    </row>
    <row r="85" spans="1:14" ht="15" customHeight="1">
      <c r="A85" t="s">
        <v>149</v>
      </c>
      <c r="B85" t="s">
        <v>89</v>
      </c>
      <c r="C85" s="8" t="s">
        <v>24</v>
      </c>
      <c r="D85" s="9" t="s">
        <v>25</v>
      </c>
      <c r="E85" t="s">
        <v>43</v>
      </c>
      <c r="F85" s="2">
        <v>45677</v>
      </c>
      <c r="G85" s="3">
        <v>22</v>
      </c>
      <c r="H85" s="2">
        <v>45696</v>
      </c>
      <c r="I85" s="4">
        <v>45699</v>
      </c>
      <c r="J85" s="3">
        <f>COUNTIFS('OOS Events'!$C:$C,B85,'OOS Events'!$D:$D,C85,'OOS Events'!$E:$E,"&gt;="&amp;D85-90,'OOS Events'!$E:$E,"&lt;"&amp;D85)</f>
        <v>0</v>
      </c>
      <c r="K85" s="3">
        <f>COUNTIF('OOS Events'!$B:$B,A85)</f>
        <v>0</v>
      </c>
      <c r="L85" s="3">
        <v>1</v>
      </c>
      <c r="M85" s="3">
        <v>14</v>
      </c>
      <c r="N85" t="s">
        <v>40</v>
      </c>
    </row>
    <row r="86" spans="1:14" ht="15" customHeight="1">
      <c r="A86" t="s">
        <v>150</v>
      </c>
      <c r="B86" t="s">
        <v>91</v>
      </c>
      <c r="C86" s="8" t="s">
        <v>24</v>
      </c>
      <c r="D86" s="9" t="s">
        <v>25</v>
      </c>
      <c r="E86" t="s">
        <v>60</v>
      </c>
      <c r="F86" s="2">
        <v>45678</v>
      </c>
      <c r="G86" s="3">
        <v>23</v>
      </c>
      <c r="H86" s="2">
        <v>45699</v>
      </c>
      <c r="I86" s="4">
        <v>45707</v>
      </c>
      <c r="J86" s="3">
        <f>COUNTIFS('OOS Events'!$C:$C,B86,'OOS Events'!$D:$D,C86,'OOS Events'!$E:$E,"&gt;="&amp;D86-90,'OOS Events'!$E:$E,"&lt;"&amp;D86)</f>
        <v>0</v>
      </c>
      <c r="K86" s="3">
        <f>COUNTIF('OOS Events'!$B:$B,A86)</f>
        <v>0</v>
      </c>
      <c r="L86" s="3">
        <v>1</v>
      </c>
      <c r="M86" s="3">
        <v>29</v>
      </c>
      <c r="N86" t="s">
        <v>44</v>
      </c>
    </row>
    <row r="87" spans="1:14" ht="15" customHeight="1">
      <c r="A87" t="s">
        <v>151</v>
      </c>
      <c r="B87" t="s">
        <v>17</v>
      </c>
      <c r="C87" s="8" t="s">
        <v>18</v>
      </c>
      <c r="D87" s="9" t="s">
        <v>19</v>
      </c>
      <c r="E87" t="s">
        <v>34</v>
      </c>
      <c r="F87" s="2">
        <v>45679</v>
      </c>
      <c r="G87" s="3">
        <v>19</v>
      </c>
      <c r="H87" s="2">
        <v>45717</v>
      </c>
      <c r="I87" s="2">
        <v>45716</v>
      </c>
      <c r="J87" s="3">
        <f>COUNTIFS('OOS Events'!$C:$C,B87,'OOS Events'!$D:$D,C87,'OOS Events'!$E:$E,"&gt;="&amp;D87-90,'OOS Events'!$E:$E,"&lt;"&amp;D87)</f>
        <v>0</v>
      </c>
      <c r="K87" s="3">
        <f>COUNTIF('OOS Events'!$B:$B,A87)</f>
        <v>1</v>
      </c>
      <c r="L87" s="3">
        <v>1</v>
      </c>
      <c r="M87" s="3">
        <v>36</v>
      </c>
      <c r="N87" t="s">
        <v>27</v>
      </c>
    </row>
    <row r="88" spans="1:14" ht="15" customHeight="1">
      <c r="A88" t="s">
        <v>152</v>
      </c>
      <c r="B88" t="s">
        <v>29</v>
      </c>
      <c r="C88" s="8" t="s">
        <v>24</v>
      </c>
      <c r="D88" s="9" t="s">
        <v>25</v>
      </c>
      <c r="E88" t="s">
        <v>60</v>
      </c>
      <c r="F88" s="2">
        <v>45681</v>
      </c>
      <c r="G88" s="3">
        <v>23</v>
      </c>
      <c r="H88" s="2">
        <v>45717</v>
      </c>
      <c r="I88" s="4">
        <v>45720</v>
      </c>
      <c r="J88" s="3">
        <f>COUNTIFS('OOS Events'!$C:$C,B88,'OOS Events'!$D:$D,C88,'OOS Events'!$E:$E,"&gt;="&amp;D88-90,'OOS Events'!$E:$E,"&lt;"&amp;D88)</f>
        <v>0</v>
      </c>
      <c r="K88" s="3">
        <f>COUNTIF('OOS Events'!$B:$B,A88)</f>
        <v>0</v>
      </c>
      <c r="L88" s="3">
        <v>2</v>
      </c>
      <c r="M88" s="3">
        <v>35</v>
      </c>
      <c r="N88" t="s">
        <v>27</v>
      </c>
    </row>
    <row r="89" spans="1:14" ht="15" customHeight="1">
      <c r="A89" t="s">
        <v>153</v>
      </c>
      <c r="B89" t="s">
        <v>32</v>
      </c>
      <c r="C89" s="8" t="s">
        <v>33</v>
      </c>
      <c r="D89" s="9" t="s">
        <v>19</v>
      </c>
      <c r="E89" t="s">
        <v>20</v>
      </c>
      <c r="F89" s="2">
        <v>45682</v>
      </c>
      <c r="G89" s="3">
        <v>15</v>
      </c>
      <c r="H89" s="2">
        <v>45707</v>
      </c>
      <c r="I89" s="4">
        <v>45710</v>
      </c>
      <c r="J89" s="3">
        <f>COUNTIFS('OOS Events'!$C:$C,B89,'OOS Events'!$D:$D,C89,'OOS Events'!$E:$E,"&gt;="&amp;D89-90,'OOS Events'!$E:$E,"&lt;"&amp;D89)</f>
        <v>0</v>
      </c>
      <c r="K89" s="3">
        <f>COUNTIF('OOS Events'!$B:$B,A89)</f>
        <v>0</v>
      </c>
      <c r="L89" s="3">
        <v>0</v>
      </c>
      <c r="M89" s="3">
        <v>20</v>
      </c>
      <c r="N89" t="s">
        <v>40</v>
      </c>
    </row>
    <row r="90" spans="1:14" ht="15" customHeight="1">
      <c r="A90" t="s">
        <v>154</v>
      </c>
      <c r="B90" t="s">
        <v>97</v>
      </c>
      <c r="C90" s="8" t="s">
        <v>18</v>
      </c>
      <c r="D90" s="9" t="s">
        <v>19</v>
      </c>
      <c r="E90" t="s">
        <v>30</v>
      </c>
      <c r="F90" s="2">
        <v>45683</v>
      </c>
      <c r="G90" s="3">
        <v>12</v>
      </c>
      <c r="H90" s="2">
        <v>45707</v>
      </c>
      <c r="I90" s="4">
        <v>45709</v>
      </c>
      <c r="J90" s="3">
        <f>COUNTIFS('OOS Events'!$C:$C,B90,'OOS Events'!$D:$D,C90,'OOS Events'!$E:$E,"&gt;="&amp;D90-90,'OOS Events'!$E:$E,"&lt;"&amp;D90)</f>
        <v>0</v>
      </c>
      <c r="K90" s="3">
        <f>COUNTIF('OOS Events'!$B:$B,A90)</f>
        <v>0</v>
      </c>
      <c r="L90" s="3">
        <v>0</v>
      </c>
      <c r="M90" s="3">
        <v>14</v>
      </c>
      <c r="N90" t="s">
        <v>44</v>
      </c>
    </row>
    <row r="91" spans="1:14" ht="15" customHeight="1">
      <c r="A91" t="s">
        <v>155</v>
      </c>
      <c r="B91" t="s">
        <v>42</v>
      </c>
      <c r="C91" s="8" t="s">
        <v>24</v>
      </c>
      <c r="D91" s="9" t="s">
        <v>25</v>
      </c>
      <c r="E91" t="s">
        <v>43</v>
      </c>
      <c r="F91" s="2">
        <v>45683</v>
      </c>
      <c r="G91" s="3">
        <v>23</v>
      </c>
      <c r="H91" s="2">
        <v>45711</v>
      </c>
      <c r="I91" s="2">
        <v>45711</v>
      </c>
      <c r="J91" s="3">
        <f>COUNTIFS('OOS Events'!$C:$C,B91,'OOS Events'!$D:$D,C91,'OOS Events'!$E:$E,"&gt;="&amp;D91-90,'OOS Events'!$E:$E,"&lt;"&amp;D91)</f>
        <v>0</v>
      </c>
      <c r="K91" s="3">
        <f>COUNTIF('OOS Events'!$B:$B,A91)</f>
        <v>1</v>
      </c>
      <c r="L91" s="3">
        <v>0</v>
      </c>
      <c r="M91" s="3">
        <v>26</v>
      </c>
      <c r="N91" t="s">
        <v>47</v>
      </c>
    </row>
    <row r="92" spans="1:14" ht="15" customHeight="1">
      <c r="A92" t="s">
        <v>156</v>
      </c>
      <c r="B92" t="s">
        <v>46</v>
      </c>
      <c r="C92" s="8" t="s">
        <v>24</v>
      </c>
      <c r="D92" s="9" t="s">
        <v>25</v>
      </c>
      <c r="E92" t="s">
        <v>34</v>
      </c>
      <c r="F92" s="2">
        <v>45685</v>
      </c>
      <c r="G92" s="3">
        <v>11</v>
      </c>
      <c r="H92" s="2">
        <v>45713</v>
      </c>
      <c r="I92" s="4">
        <v>45725</v>
      </c>
      <c r="J92" s="3">
        <f>COUNTIFS('OOS Events'!$C:$C,B92,'OOS Events'!$D:$D,C92,'OOS Events'!$E:$E,"&gt;="&amp;D92-90,'OOS Events'!$E:$E,"&lt;"&amp;D92)</f>
        <v>0</v>
      </c>
      <c r="K92" s="3">
        <f>COUNTIF('OOS Events'!$B:$B,A92)</f>
        <v>1</v>
      </c>
      <c r="L92" s="3">
        <v>0</v>
      </c>
      <c r="M92" s="3">
        <v>33</v>
      </c>
      <c r="N92" t="s">
        <v>44</v>
      </c>
    </row>
    <row r="93" spans="1:14" ht="15" customHeight="1">
      <c r="A93" t="s">
        <v>157</v>
      </c>
      <c r="B93" t="s">
        <v>49</v>
      </c>
      <c r="C93" s="8" t="s">
        <v>33</v>
      </c>
      <c r="D93" s="9" t="s">
        <v>19</v>
      </c>
      <c r="E93" t="s">
        <v>30</v>
      </c>
      <c r="F93" s="2">
        <v>45686</v>
      </c>
      <c r="G93" s="3">
        <v>10</v>
      </c>
      <c r="H93" s="2">
        <v>45724</v>
      </c>
      <c r="I93" s="2">
        <v>45723</v>
      </c>
      <c r="J93" s="3">
        <f>COUNTIFS('OOS Events'!$C:$C,B93,'OOS Events'!$D:$D,C93,'OOS Events'!$E:$E,"&gt;="&amp;D93-90,'OOS Events'!$E:$E,"&lt;"&amp;D93)</f>
        <v>0</v>
      </c>
      <c r="K93" s="3">
        <f>COUNTIF('OOS Events'!$B:$B,A93)</f>
        <v>1</v>
      </c>
      <c r="L93" s="3">
        <v>1</v>
      </c>
      <c r="M93" s="3">
        <v>36</v>
      </c>
      <c r="N93" t="s">
        <v>27</v>
      </c>
    </row>
    <row r="94" spans="1:14" ht="15" customHeight="1">
      <c r="A94" t="s">
        <v>158</v>
      </c>
      <c r="B94" t="s">
        <v>130</v>
      </c>
      <c r="C94" s="8" t="s">
        <v>71</v>
      </c>
      <c r="D94" s="9" t="s">
        <v>72</v>
      </c>
      <c r="E94" t="s">
        <v>20</v>
      </c>
      <c r="F94" s="2">
        <v>45687</v>
      </c>
      <c r="G94" s="3">
        <v>16</v>
      </c>
      <c r="H94" s="2">
        <v>45711</v>
      </c>
      <c r="I94" s="4">
        <v>45723</v>
      </c>
      <c r="J94" s="3">
        <f>COUNTIFS('OOS Events'!$C:$C,B94,'OOS Events'!$D:$D,C94,'OOS Events'!$E:$E,"&gt;="&amp;D94-90,'OOS Events'!$E:$E,"&lt;"&amp;D94)</f>
        <v>0</v>
      </c>
      <c r="K94" s="3">
        <f>COUNTIF('OOS Events'!$B:$B,A94)</f>
        <v>0</v>
      </c>
      <c r="L94" s="3">
        <v>0</v>
      </c>
      <c r="M94" s="3">
        <v>14</v>
      </c>
      <c r="N94" t="s">
        <v>40</v>
      </c>
    </row>
    <row r="95" spans="1:14" ht="15" customHeight="1">
      <c r="A95" t="s">
        <v>159</v>
      </c>
      <c r="B95" t="s">
        <v>53</v>
      </c>
      <c r="C95" s="8" t="s">
        <v>24</v>
      </c>
      <c r="D95" s="9" t="s">
        <v>25</v>
      </c>
      <c r="E95" t="s">
        <v>60</v>
      </c>
      <c r="F95" s="2">
        <v>45687</v>
      </c>
      <c r="G95" s="3">
        <v>26</v>
      </c>
      <c r="H95" s="2">
        <v>45719</v>
      </c>
      <c r="I95" s="2">
        <v>45718</v>
      </c>
      <c r="J95" s="3">
        <f>COUNTIFS('OOS Events'!$C:$C,B95,'OOS Events'!$D:$D,C95,'OOS Events'!$E:$E,"&gt;="&amp;D95-90,'OOS Events'!$E:$E,"&lt;"&amp;D95)</f>
        <v>0</v>
      </c>
      <c r="K95" s="3">
        <f>COUNTIF('OOS Events'!$B:$B,A95)</f>
        <v>0</v>
      </c>
      <c r="L95" s="3">
        <v>0</v>
      </c>
      <c r="M95" s="3">
        <v>18</v>
      </c>
      <c r="N95" t="s">
        <v>35</v>
      </c>
    </row>
    <row r="96" spans="1:14" ht="15" customHeight="1">
      <c r="A96" t="s">
        <v>160</v>
      </c>
      <c r="B96" t="s">
        <v>55</v>
      </c>
      <c r="C96" s="8" t="s">
        <v>33</v>
      </c>
      <c r="D96" s="9" t="s">
        <v>19</v>
      </c>
      <c r="E96" t="s">
        <v>30</v>
      </c>
      <c r="F96" s="2">
        <v>45689</v>
      </c>
      <c r="G96" s="3">
        <v>17</v>
      </c>
      <c r="H96" s="2">
        <v>45713</v>
      </c>
      <c r="I96" s="4">
        <v>45716</v>
      </c>
      <c r="J96" s="3">
        <f>COUNTIFS('OOS Events'!$C:$C,B96,'OOS Events'!$D:$D,C96,'OOS Events'!$E:$E,"&gt;="&amp;D96-90,'OOS Events'!$E:$E,"&lt;"&amp;D96)</f>
        <v>0</v>
      </c>
      <c r="K96" s="3">
        <f>COUNTIF('OOS Events'!$B:$B,A96)</f>
        <v>0</v>
      </c>
      <c r="L96" s="3">
        <v>1</v>
      </c>
      <c r="M96" s="3">
        <v>24</v>
      </c>
      <c r="N96" t="s">
        <v>40</v>
      </c>
    </row>
    <row r="97" spans="1:14" ht="15" customHeight="1">
      <c r="A97" t="s">
        <v>161</v>
      </c>
      <c r="B97" t="s">
        <v>57</v>
      </c>
      <c r="C97" s="8" t="s">
        <v>24</v>
      </c>
      <c r="D97" s="9" t="s">
        <v>25</v>
      </c>
      <c r="E97" t="s">
        <v>20</v>
      </c>
      <c r="F97" s="2">
        <v>45690</v>
      </c>
      <c r="G97" s="3">
        <v>17</v>
      </c>
      <c r="H97" s="2">
        <v>45718</v>
      </c>
      <c r="I97" s="2">
        <v>45717</v>
      </c>
      <c r="J97" s="3">
        <f>COUNTIFS('OOS Events'!$C:$C,B97,'OOS Events'!$D:$D,C97,'OOS Events'!$E:$E,"&gt;="&amp;D97-90,'OOS Events'!$E:$E,"&lt;"&amp;D97)</f>
        <v>0</v>
      </c>
      <c r="K97" s="3">
        <f>COUNTIF('OOS Events'!$B:$B,A97)</f>
        <v>0</v>
      </c>
      <c r="L97" s="3">
        <v>0</v>
      </c>
      <c r="M97" s="3">
        <v>32</v>
      </c>
      <c r="N97" t="s">
        <v>44</v>
      </c>
    </row>
    <row r="98" spans="1:14" ht="15" customHeight="1">
      <c r="A98" t="s">
        <v>162</v>
      </c>
      <c r="B98" t="s">
        <v>163</v>
      </c>
      <c r="C98" s="8" t="s">
        <v>71</v>
      </c>
      <c r="D98" s="9" t="s">
        <v>72</v>
      </c>
      <c r="E98" t="s">
        <v>60</v>
      </c>
      <c r="F98" s="2">
        <v>45691</v>
      </c>
      <c r="G98" s="3">
        <v>24</v>
      </c>
      <c r="H98" s="2">
        <v>45726</v>
      </c>
      <c r="I98" s="4">
        <v>45729</v>
      </c>
      <c r="J98" s="3">
        <f>COUNTIFS('OOS Events'!$C:$C,B98,'OOS Events'!$D:$D,C98,'OOS Events'!$E:$E,"&gt;="&amp;D98-90,'OOS Events'!$E:$E,"&lt;"&amp;D98)</f>
        <v>0</v>
      </c>
      <c r="K98" s="3">
        <f>COUNTIF('OOS Events'!$B:$B,A98)</f>
        <v>0</v>
      </c>
      <c r="L98" s="3">
        <v>1</v>
      </c>
      <c r="M98" s="3">
        <v>34</v>
      </c>
      <c r="N98" t="s">
        <v>27</v>
      </c>
    </row>
    <row r="99" spans="1:14" ht="15" customHeight="1">
      <c r="A99" t="s">
        <v>164</v>
      </c>
      <c r="B99" t="s">
        <v>62</v>
      </c>
      <c r="C99" s="8" t="s">
        <v>33</v>
      </c>
      <c r="D99" s="9" t="s">
        <v>19</v>
      </c>
      <c r="E99" t="s">
        <v>34</v>
      </c>
      <c r="F99" s="2">
        <v>45691</v>
      </c>
      <c r="G99" s="3">
        <v>15</v>
      </c>
      <c r="H99" s="2">
        <v>45707</v>
      </c>
      <c r="I99" s="4">
        <v>45709</v>
      </c>
      <c r="J99" s="3">
        <f>COUNTIFS('OOS Events'!$C:$C,B99,'OOS Events'!$D:$D,C99,'OOS Events'!$E:$E,"&gt;="&amp;D99-90,'OOS Events'!$E:$E,"&lt;"&amp;D99)</f>
        <v>0</v>
      </c>
      <c r="K99" s="3">
        <f>COUNTIF('OOS Events'!$B:$B,A99)</f>
        <v>1</v>
      </c>
      <c r="L99" s="3">
        <v>3</v>
      </c>
      <c r="M99" s="3">
        <v>22</v>
      </c>
      <c r="N99" t="s">
        <v>21</v>
      </c>
    </row>
    <row r="100" spans="1:14" ht="15" customHeight="1">
      <c r="A100" t="s">
        <v>165</v>
      </c>
      <c r="B100" t="s">
        <v>64</v>
      </c>
      <c r="C100" s="8" t="s">
        <v>24</v>
      </c>
      <c r="D100" s="9" t="s">
        <v>25</v>
      </c>
      <c r="E100" t="s">
        <v>43</v>
      </c>
      <c r="F100" s="2">
        <v>45693</v>
      </c>
      <c r="G100" s="3">
        <v>21</v>
      </c>
      <c r="H100" s="2">
        <v>45729</v>
      </c>
      <c r="I100" s="2">
        <v>45727</v>
      </c>
      <c r="J100" s="3">
        <f>COUNTIFS('OOS Events'!$C:$C,B100,'OOS Events'!$D:$D,C100,'OOS Events'!$E:$E,"&gt;="&amp;D100-90,'OOS Events'!$E:$E,"&lt;"&amp;D100)</f>
        <v>0</v>
      </c>
      <c r="K100" s="3">
        <f>COUNTIF('OOS Events'!$B:$B,A100)</f>
        <v>0</v>
      </c>
      <c r="L100" s="3">
        <v>2</v>
      </c>
      <c r="M100" s="3">
        <v>31</v>
      </c>
      <c r="N100" t="s">
        <v>27</v>
      </c>
    </row>
    <row r="101" spans="1:14" ht="15" customHeight="1">
      <c r="A101" t="s">
        <v>166</v>
      </c>
      <c r="B101" t="s">
        <v>109</v>
      </c>
      <c r="C101" s="8" t="s">
        <v>24</v>
      </c>
      <c r="D101" s="9" t="s">
        <v>25</v>
      </c>
      <c r="E101" t="s">
        <v>26</v>
      </c>
      <c r="F101" s="2">
        <v>45694</v>
      </c>
      <c r="G101" s="3">
        <v>19</v>
      </c>
      <c r="H101" s="2">
        <v>45712</v>
      </c>
      <c r="I101" s="2">
        <v>45712</v>
      </c>
      <c r="J101" s="3">
        <f>COUNTIFS('OOS Events'!$C:$C,B101,'OOS Events'!$D:$D,C101,'OOS Events'!$E:$E,"&gt;="&amp;D101-90,'OOS Events'!$E:$E,"&lt;"&amp;D101)</f>
        <v>0</v>
      </c>
      <c r="K101" s="3">
        <f>COUNTIF('OOS Events'!$B:$B,A101)</f>
        <v>1</v>
      </c>
      <c r="L101" s="3">
        <v>0</v>
      </c>
      <c r="M101" s="3">
        <v>13</v>
      </c>
      <c r="N101" t="s">
        <v>40</v>
      </c>
    </row>
    <row r="102" spans="1:14" ht="15" customHeight="1">
      <c r="A102" t="s">
        <v>167</v>
      </c>
      <c r="B102" t="s">
        <v>66</v>
      </c>
      <c r="C102" s="8" t="s">
        <v>24</v>
      </c>
      <c r="D102" s="9" t="s">
        <v>25</v>
      </c>
      <c r="E102" t="s">
        <v>34</v>
      </c>
      <c r="F102" s="2">
        <v>45694</v>
      </c>
      <c r="G102" s="3">
        <v>10</v>
      </c>
      <c r="H102" s="2">
        <v>45728</v>
      </c>
      <c r="I102" s="4">
        <v>45731</v>
      </c>
      <c r="J102" s="3">
        <f>COUNTIFS('OOS Events'!$C:$C,B102,'OOS Events'!$D:$D,C102,'OOS Events'!$E:$E,"&gt;="&amp;D102-90,'OOS Events'!$E:$E,"&lt;"&amp;D102)</f>
        <v>0</v>
      </c>
      <c r="K102" s="3">
        <f>COUNTIF('OOS Events'!$B:$B,A102)</f>
        <v>0</v>
      </c>
      <c r="L102" s="3">
        <v>0</v>
      </c>
      <c r="M102" s="3">
        <v>38</v>
      </c>
      <c r="N102" t="s">
        <v>35</v>
      </c>
    </row>
    <row r="103" spans="1:14" ht="15" customHeight="1">
      <c r="A103" t="s">
        <v>168</v>
      </c>
      <c r="B103" t="s">
        <v>68</v>
      </c>
      <c r="C103" s="8" t="s">
        <v>24</v>
      </c>
      <c r="D103" s="9" t="s">
        <v>25</v>
      </c>
      <c r="E103" t="s">
        <v>30</v>
      </c>
      <c r="F103" s="2">
        <v>45695</v>
      </c>
      <c r="G103" s="3">
        <v>21</v>
      </c>
      <c r="H103" s="2">
        <v>45723</v>
      </c>
      <c r="I103" s="4">
        <v>45731</v>
      </c>
      <c r="J103" s="3">
        <f>COUNTIFS('OOS Events'!$C:$C,B103,'OOS Events'!$D:$D,C103,'OOS Events'!$E:$E,"&gt;="&amp;D103-90,'OOS Events'!$E:$E,"&lt;"&amp;D103)</f>
        <v>0</v>
      </c>
      <c r="K103" s="3">
        <f>COUNTIF('OOS Events'!$B:$B,A103)</f>
        <v>0</v>
      </c>
      <c r="L103" s="3">
        <v>1</v>
      </c>
      <c r="M103" s="3">
        <v>34</v>
      </c>
      <c r="N103" t="s">
        <v>47</v>
      </c>
    </row>
    <row r="104" spans="1:14" ht="15" customHeight="1">
      <c r="A104" t="s">
        <v>169</v>
      </c>
      <c r="B104" t="s">
        <v>70</v>
      </c>
      <c r="C104" s="8" t="s">
        <v>71</v>
      </c>
      <c r="D104" s="9" t="s">
        <v>72</v>
      </c>
      <c r="E104" t="s">
        <v>26</v>
      </c>
      <c r="F104" s="2">
        <v>45697</v>
      </c>
      <c r="G104" s="3">
        <v>12</v>
      </c>
      <c r="H104" s="2">
        <v>45725</v>
      </c>
      <c r="I104" s="2">
        <v>45723</v>
      </c>
      <c r="J104" s="3">
        <f>COUNTIFS('OOS Events'!$C:$C,B104,'OOS Events'!$D:$D,C104,'OOS Events'!$E:$E,"&gt;="&amp;D104-90,'OOS Events'!$E:$E,"&lt;"&amp;D104)</f>
        <v>0</v>
      </c>
      <c r="K104" s="3">
        <f>COUNTIF('OOS Events'!$B:$B,A104)</f>
        <v>1</v>
      </c>
      <c r="L104" s="3">
        <v>2</v>
      </c>
      <c r="M104" s="3">
        <v>28</v>
      </c>
      <c r="N104" t="s">
        <v>44</v>
      </c>
    </row>
    <row r="105" spans="1:14" ht="15" customHeight="1">
      <c r="A105" t="s">
        <v>170</v>
      </c>
      <c r="B105" t="s">
        <v>142</v>
      </c>
      <c r="C105" s="8" t="s">
        <v>71</v>
      </c>
      <c r="D105" s="9" t="s">
        <v>72</v>
      </c>
      <c r="E105" t="s">
        <v>43</v>
      </c>
      <c r="F105" s="2">
        <v>45698</v>
      </c>
      <c r="G105" s="3">
        <v>22</v>
      </c>
      <c r="H105" s="2">
        <v>45738</v>
      </c>
      <c r="I105" s="2">
        <v>45738</v>
      </c>
      <c r="J105" s="3">
        <f>COUNTIFS('OOS Events'!$C:$C,B105,'OOS Events'!$D:$D,C105,'OOS Events'!$E:$E,"&gt;="&amp;D105-90,'OOS Events'!$E:$E,"&lt;"&amp;D105)</f>
        <v>0</v>
      </c>
      <c r="K105" s="3">
        <f>COUNTIF('OOS Events'!$B:$B,A105)</f>
        <v>0</v>
      </c>
      <c r="L105" s="3">
        <v>3</v>
      </c>
      <c r="M105" s="3">
        <v>45</v>
      </c>
      <c r="N105" t="s">
        <v>27</v>
      </c>
    </row>
    <row r="106" spans="1:14" ht="15" customHeight="1">
      <c r="A106" t="s">
        <v>171</v>
      </c>
      <c r="B106" t="s">
        <v>74</v>
      </c>
      <c r="C106" s="8" t="s">
        <v>75</v>
      </c>
      <c r="D106" s="9" t="s">
        <v>72</v>
      </c>
      <c r="E106" t="s">
        <v>30</v>
      </c>
      <c r="F106" s="2">
        <v>45698</v>
      </c>
      <c r="G106" s="3">
        <v>23</v>
      </c>
      <c r="H106" s="2">
        <v>45711</v>
      </c>
      <c r="I106" s="4">
        <v>45716</v>
      </c>
      <c r="J106" s="3">
        <f>COUNTIFS('OOS Events'!$C:$C,B106,'OOS Events'!$D:$D,C106,'OOS Events'!$E:$E,"&gt;="&amp;D106-90,'OOS Events'!$E:$E,"&lt;"&amp;D106)</f>
        <v>0</v>
      </c>
      <c r="K106" s="3">
        <f>COUNTIF('OOS Events'!$B:$B,A106)</f>
        <v>1</v>
      </c>
      <c r="L106" s="3">
        <v>3</v>
      </c>
      <c r="M106" s="3">
        <v>22</v>
      </c>
      <c r="N106" t="s">
        <v>21</v>
      </c>
    </row>
    <row r="107" spans="1:14" ht="15" customHeight="1">
      <c r="A107" t="s">
        <v>172</v>
      </c>
      <c r="B107" t="s">
        <v>77</v>
      </c>
      <c r="C107" s="8" t="s">
        <v>33</v>
      </c>
      <c r="D107" s="9" t="s">
        <v>19</v>
      </c>
      <c r="E107" t="s">
        <v>43</v>
      </c>
      <c r="F107" s="2">
        <v>45699</v>
      </c>
      <c r="G107" s="3">
        <v>24</v>
      </c>
      <c r="H107" s="2">
        <v>45735</v>
      </c>
      <c r="I107" s="4">
        <v>45737</v>
      </c>
      <c r="J107" s="3">
        <f>COUNTIFS('OOS Events'!$C:$C,B107,'OOS Events'!$D:$D,C107,'OOS Events'!$E:$E,"&gt;="&amp;D107-90,'OOS Events'!$E:$E,"&lt;"&amp;D107)</f>
        <v>0</v>
      </c>
      <c r="K107" s="3">
        <f>COUNTIF('OOS Events'!$B:$B,A107)</f>
        <v>0</v>
      </c>
      <c r="L107" s="3">
        <v>2</v>
      </c>
      <c r="M107" s="3">
        <v>38</v>
      </c>
      <c r="N107" t="s">
        <v>35</v>
      </c>
    </row>
    <row r="108" spans="1:14" ht="15" customHeight="1">
      <c r="A108" t="s">
        <v>173</v>
      </c>
      <c r="B108" t="s">
        <v>174</v>
      </c>
      <c r="C108" s="8" t="s">
        <v>71</v>
      </c>
      <c r="D108" s="9" t="s">
        <v>72</v>
      </c>
      <c r="E108" t="s">
        <v>30</v>
      </c>
      <c r="F108" s="2">
        <v>45702</v>
      </c>
      <c r="G108" s="3">
        <v>20</v>
      </c>
      <c r="H108" s="2">
        <v>45723</v>
      </c>
      <c r="I108" s="2">
        <v>45723</v>
      </c>
      <c r="J108" s="3">
        <f>COUNTIFS('OOS Events'!$C:$C,B108,'OOS Events'!$D:$D,C108,'OOS Events'!$E:$E,"&gt;="&amp;D108-90,'OOS Events'!$E:$E,"&lt;"&amp;D108)</f>
        <v>0</v>
      </c>
      <c r="K108" s="3">
        <f>COUNTIF('OOS Events'!$B:$B,A108)</f>
        <v>0</v>
      </c>
      <c r="L108" s="3">
        <v>0</v>
      </c>
      <c r="M108" s="3">
        <v>8</v>
      </c>
      <c r="N108" t="s">
        <v>44</v>
      </c>
    </row>
    <row r="109" spans="1:14" ht="15" customHeight="1">
      <c r="A109" t="s">
        <v>175</v>
      </c>
      <c r="B109" t="s">
        <v>79</v>
      </c>
      <c r="C109" s="8" t="s">
        <v>33</v>
      </c>
      <c r="D109" s="9" t="s">
        <v>19</v>
      </c>
      <c r="E109" t="s">
        <v>20</v>
      </c>
      <c r="F109" s="2">
        <v>45702</v>
      </c>
      <c r="G109" s="3">
        <v>17</v>
      </c>
      <c r="H109" s="2">
        <v>45729</v>
      </c>
      <c r="I109" s="4">
        <v>45732</v>
      </c>
      <c r="J109" s="3">
        <f>COUNTIFS('OOS Events'!$C:$C,B109,'OOS Events'!$D:$D,C109,'OOS Events'!$E:$E,"&gt;="&amp;D109-90,'OOS Events'!$E:$E,"&lt;"&amp;D109)</f>
        <v>0</v>
      </c>
      <c r="K109" s="3">
        <f>COUNTIF('OOS Events'!$B:$B,A109)</f>
        <v>1</v>
      </c>
      <c r="L109" s="3">
        <v>0</v>
      </c>
      <c r="M109" s="3">
        <v>26</v>
      </c>
      <c r="N109" t="s">
        <v>47</v>
      </c>
    </row>
    <row r="110" spans="1:14" ht="15" customHeight="1">
      <c r="A110" t="s">
        <v>176</v>
      </c>
      <c r="B110" t="s">
        <v>81</v>
      </c>
      <c r="C110" s="8" t="s">
        <v>71</v>
      </c>
      <c r="D110" s="9" t="s">
        <v>72</v>
      </c>
      <c r="E110" t="s">
        <v>26</v>
      </c>
      <c r="F110" s="2">
        <v>45703</v>
      </c>
      <c r="G110" s="3">
        <v>14</v>
      </c>
      <c r="H110" s="2">
        <v>45719</v>
      </c>
      <c r="I110" s="4">
        <v>45720</v>
      </c>
      <c r="J110" s="3">
        <f>COUNTIFS('OOS Events'!$C:$C,B110,'OOS Events'!$D:$D,C110,'OOS Events'!$E:$E,"&gt;="&amp;D110-90,'OOS Events'!$E:$E,"&lt;"&amp;D110)</f>
        <v>0</v>
      </c>
      <c r="K110" s="3">
        <f>COUNTIF('OOS Events'!$B:$B,A110)</f>
        <v>0</v>
      </c>
      <c r="L110" s="3">
        <v>1</v>
      </c>
      <c r="M110" s="3">
        <v>12</v>
      </c>
      <c r="N110" t="s">
        <v>21</v>
      </c>
    </row>
    <row r="111" spans="1:14" ht="15" customHeight="1">
      <c r="A111" t="s">
        <v>177</v>
      </c>
      <c r="B111" t="s">
        <v>83</v>
      </c>
      <c r="C111" s="8" t="s">
        <v>33</v>
      </c>
      <c r="D111" s="9" t="s">
        <v>19</v>
      </c>
      <c r="E111" t="s">
        <v>26</v>
      </c>
      <c r="F111" s="2">
        <v>45706</v>
      </c>
      <c r="G111" s="3">
        <v>19</v>
      </c>
      <c r="H111" s="2">
        <v>45743</v>
      </c>
      <c r="I111" s="2">
        <v>45743</v>
      </c>
      <c r="J111" s="3">
        <f>COUNTIFS('OOS Events'!$C:$C,B111,'OOS Events'!$D:$D,C111,'OOS Events'!$E:$E,"&gt;="&amp;D111-90,'OOS Events'!$E:$E,"&lt;"&amp;D111)</f>
        <v>0</v>
      </c>
      <c r="K111" s="3">
        <f>COUNTIF('OOS Events'!$B:$B,A111)</f>
        <v>0</v>
      </c>
      <c r="L111" s="3">
        <v>1</v>
      </c>
      <c r="M111" s="3">
        <v>30</v>
      </c>
      <c r="N111" t="s">
        <v>35</v>
      </c>
    </row>
    <row r="112" spans="1:14" ht="15" customHeight="1">
      <c r="A112" t="s">
        <v>178</v>
      </c>
      <c r="B112" t="s">
        <v>85</v>
      </c>
      <c r="C112" s="8" t="s">
        <v>71</v>
      </c>
      <c r="D112" s="9" t="s">
        <v>72</v>
      </c>
      <c r="E112" t="s">
        <v>43</v>
      </c>
      <c r="F112" s="2">
        <v>45707</v>
      </c>
      <c r="G112" s="3">
        <v>26</v>
      </c>
      <c r="H112" s="2">
        <v>45740</v>
      </c>
      <c r="I112" s="2">
        <v>45740</v>
      </c>
      <c r="J112" s="3">
        <f>COUNTIFS('OOS Events'!$C:$C,B112,'OOS Events'!$D:$D,C112,'OOS Events'!$E:$E,"&gt;="&amp;D112-90,'OOS Events'!$E:$E,"&lt;"&amp;D112)</f>
        <v>0</v>
      </c>
      <c r="K112" s="3">
        <f>COUNTIF('OOS Events'!$B:$B,A112)</f>
        <v>0</v>
      </c>
      <c r="L112" s="3">
        <v>1</v>
      </c>
      <c r="M112" s="3">
        <v>35</v>
      </c>
      <c r="N112" t="s">
        <v>47</v>
      </c>
    </row>
    <row r="113" spans="1:14" ht="15" customHeight="1">
      <c r="A113" t="s">
        <v>179</v>
      </c>
      <c r="B113" t="s">
        <v>89</v>
      </c>
      <c r="C113" s="8" t="s">
        <v>24</v>
      </c>
      <c r="D113" s="9" t="s">
        <v>25</v>
      </c>
      <c r="E113" t="s">
        <v>34</v>
      </c>
      <c r="F113" s="2">
        <v>45710</v>
      </c>
      <c r="G113" s="3">
        <v>17</v>
      </c>
      <c r="H113" s="2">
        <v>45726</v>
      </c>
      <c r="I113" s="2">
        <v>45726</v>
      </c>
      <c r="J113" s="3">
        <f>COUNTIFS('OOS Events'!$C:$C,B113,'OOS Events'!$D:$D,C113,'OOS Events'!$E:$E,"&gt;="&amp;D113-90,'OOS Events'!$E:$E,"&lt;"&amp;D113)</f>
        <v>0</v>
      </c>
      <c r="K113" s="3">
        <f>COUNTIF('OOS Events'!$B:$B,A113)</f>
        <v>1</v>
      </c>
      <c r="L113" s="3">
        <v>1</v>
      </c>
      <c r="M113" s="3">
        <v>15</v>
      </c>
      <c r="N113" t="s">
        <v>21</v>
      </c>
    </row>
    <row r="114" spans="1:14" ht="15" customHeight="1">
      <c r="A114" t="s">
        <v>180</v>
      </c>
      <c r="B114" t="s">
        <v>91</v>
      </c>
      <c r="C114" s="8" t="s">
        <v>24</v>
      </c>
      <c r="D114" s="9" t="s">
        <v>25</v>
      </c>
      <c r="E114" t="s">
        <v>60</v>
      </c>
      <c r="F114" s="2">
        <v>45711</v>
      </c>
      <c r="G114" s="3">
        <v>23</v>
      </c>
      <c r="H114" s="2">
        <v>45746</v>
      </c>
      <c r="I114" s="4">
        <v>45748</v>
      </c>
      <c r="J114" s="3">
        <f>COUNTIFS('OOS Events'!$C:$C,B114,'OOS Events'!$D:$D,C114,'OOS Events'!$E:$E,"&gt;="&amp;D114-90,'OOS Events'!$E:$E,"&lt;"&amp;D114)</f>
        <v>0</v>
      </c>
      <c r="K114" s="3">
        <f>COUNTIF('OOS Events'!$B:$B,A114)</f>
        <v>1</v>
      </c>
      <c r="L114" s="3">
        <v>0</v>
      </c>
      <c r="M114" s="3">
        <v>24</v>
      </c>
      <c r="N114" t="s">
        <v>35</v>
      </c>
    </row>
    <row r="115" spans="1:14" ht="15" customHeight="1">
      <c r="A115" t="s">
        <v>181</v>
      </c>
      <c r="B115" t="s">
        <v>17</v>
      </c>
      <c r="C115" s="8" t="s">
        <v>18</v>
      </c>
      <c r="D115" s="9" t="s">
        <v>19</v>
      </c>
      <c r="E115" t="s">
        <v>34</v>
      </c>
      <c r="F115" s="2">
        <v>45712</v>
      </c>
      <c r="G115" s="3">
        <v>11</v>
      </c>
      <c r="H115" s="2">
        <v>45744</v>
      </c>
      <c r="I115" s="4">
        <v>45745</v>
      </c>
      <c r="J115" s="3">
        <f>COUNTIFS('OOS Events'!$C:$C,B115,'OOS Events'!$D:$D,C115,'OOS Events'!$E:$E,"&gt;="&amp;D115-90,'OOS Events'!$E:$E,"&lt;"&amp;D115)</f>
        <v>0</v>
      </c>
      <c r="K115" s="3">
        <f>COUNTIF('OOS Events'!$B:$B,A115)</f>
        <v>0</v>
      </c>
      <c r="L115" s="3">
        <v>0</v>
      </c>
      <c r="M115" s="3">
        <v>36</v>
      </c>
      <c r="N115" t="s">
        <v>47</v>
      </c>
    </row>
    <row r="116" spans="1:14" ht="15" customHeight="1">
      <c r="A116" t="s">
        <v>182</v>
      </c>
      <c r="B116" t="s">
        <v>29</v>
      </c>
      <c r="C116" s="8" t="s">
        <v>24</v>
      </c>
      <c r="D116" s="9" t="s">
        <v>25</v>
      </c>
      <c r="E116" t="s">
        <v>60</v>
      </c>
      <c r="F116" s="2">
        <v>45714</v>
      </c>
      <c r="G116" s="3">
        <v>24</v>
      </c>
      <c r="H116" s="2">
        <v>45740</v>
      </c>
      <c r="I116" s="2">
        <v>45740</v>
      </c>
      <c r="J116" s="3">
        <f>COUNTIFS('OOS Events'!$C:$C,B116,'OOS Events'!$D:$D,C116,'OOS Events'!$E:$E,"&gt;="&amp;D116-90,'OOS Events'!$E:$E,"&lt;"&amp;D116)</f>
        <v>0</v>
      </c>
      <c r="K116" s="3">
        <f>COUNTIF('OOS Events'!$B:$B,A116)</f>
        <v>1</v>
      </c>
      <c r="L116" s="3">
        <v>0</v>
      </c>
      <c r="M116" s="3">
        <v>21</v>
      </c>
      <c r="N116" t="s">
        <v>47</v>
      </c>
    </row>
    <row r="117" spans="1:14" ht="15" customHeight="1">
      <c r="A117" t="s">
        <v>183</v>
      </c>
      <c r="B117" t="s">
        <v>32</v>
      </c>
      <c r="C117" s="8" t="s">
        <v>33</v>
      </c>
      <c r="D117" s="9" t="s">
        <v>19</v>
      </c>
      <c r="E117" t="s">
        <v>34</v>
      </c>
      <c r="F117" s="2">
        <v>45715</v>
      </c>
      <c r="G117" s="3">
        <v>15</v>
      </c>
      <c r="H117" s="2">
        <v>45729</v>
      </c>
      <c r="I117" s="2">
        <v>45727</v>
      </c>
      <c r="J117" s="3">
        <f>COUNTIFS('OOS Events'!$C:$C,B117,'OOS Events'!$D:$D,C117,'OOS Events'!$E:$E,"&gt;="&amp;D117-90,'OOS Events'!$E:$E,"&lt;"&amp;D117)</f>
        <v>0</v>
      </c>
      <c r="K117" s="3">
        <f>COUNTIF('OOS Events'!$B:$B,A117)</f>
        <v>1</v>
      </c>
      <c r="L117" s="3">
        <v>0</v>
      </c>
      <c r="M117" s="3">
        <v>36</v>
      </c>
      <c r="N117" t="s">
        <v>21</v>
      </c>
    </row>
    <row r="118" spans="1:14" ht="15" customHeight="1">
      <c r="A118" t="s">
        <v>184</v>
      </c>
      <c r="B118" t="s">
        <v>97</v>
      </c>
      <c r="C118" s="8" t="s">
        <v>18</v>
      </c>
      <c r="D118" s="9" t="s">
        <v>19</v>
      </c>
      <c r="E118" t="s">
        <v>30</v>
      </c>
      <c r="F118" s="2">
        <v>45716</v>
      </c>
      <c r="G118" s="3">
        <v>12</v>
      </c>
      <c r="H118" s="2">
        <v>45748</v>
      </c>
      <c r="I118" s="2">
        <v>45747</v>
      </c>
      <c r="J118" s="3">
        <f>COUNTIFS('OOS Events'!$C:$C,B118,'OOS Events'!$D:$D,C118,'OOS Events'!$E:$E,"&gt;="&amp;D118-90,'OOS Events'!$E:$E,"&lt;"&amp;D118)</f>
        <v>0</v>
      </c>
      <c r="K118" s="3">
        <f>COUNTIF('OOS Events'!$B:$B,A118)</f>
        <v>1</v>
      </c>
      <c r="L118" s="3">
        <v>0</v>
      </c>
      <c r="M118" s="3">
        <v>37</v>
      </c>
      <c r="N118" t="s">
        <v>35</v>
      </c>
    </row>
    <row r="119" spans="1:14" ht="15" customHeight="1">
      <c r="A119" t="s">
        <v>185</v>
      </c>
      <c r="B119" t="s">
        <v>46</v>
      </c>
      <c r="C119" s="8" t="s">
        <v>24</v>
      </c>
      <c r="D119" s="9" t="s">
        <v>25</v>
      </c>
      <c r="E119" t="s">
        <v>34</v>
      </c>
      <c r="F119" s="2">
        <v>45718</v>
      </c>
      <c r="G119" s="3">
        <v>10</v>
      </c>
      <c r="H119" s="2">
        <v>45751</v>
      </c>
      <c r="I119" s="4">
        <v>45752</v>
      </c>
      <c r="J119" s="3">
        <f>COUNTIFS('OOS Events'!$C:$C,B119,'OOS Events'!$D:$D,C119,'OOS Events'!$E:$E,"&gt;="&amp;D119-90,'OOS Events'!$E:$E,"&lt;"&amp;D119)</f>
        <v>0</v>
      </c>
      <c r="K119" s="3">
        <f>COUNTIF('OOS Events'!$B:$B,A119)</f>
        <v>0</v>
      </c>
      <c r="L119" s="3">
        <v>1</v>
      </c>
      <c r="M119" s="3">
        <v>39</v>
      </c>
      <c r="N119" t="s">
        <v>35</v>
      </c>
    </row>
    <row r="120" spans="1:14" ht="15" customHeight="1">
      <c r="A120" t="s">
        <v>186</v>
      </c>
      <c r="B120" t="s">
        <v>49</v>
      </c>
      <c r="C120" s="8" t="s">
        <v>33</v>
      </c>
      <c r="D120" s="9" t="s">
        <v>19</v>
      </c>
      <c r="E120" t="s">
        <v>26</v>
      </c>
      <c r="F120" s="2">
        <v>45719</v>
      </c>
      <c r="G120" s="3">
        <v>22</v>
      </c>
      <c r="H120" s="2">
        <v>45749</v>
      </c>
      <c r="I120" s="4">
        <v>45761</v>
      </c>
      <c r="J120" s="3">
        <f>COUNTIFS('OOS Events'!$C:$C,B120,'OOS Events'!$D:$D,C120,'OOS Events'!$E:$E,"&gt;="&amp;D120-90,'OOS Events'!$E:$E,"&lt;"&amp;D120)</f>
        <v>0</v>
      </c>
      <c r="K120" s="3">
        <f>COUNTIF('OOS Events'!$B:$B,A120)</f>
        <v>0</v>
      </c>
      <c r="L120" s="3">
        <v>0</v>
      </c>
      <c r="M120" s="3">
        <v>31</v>
      </c>
      <c r="N120" t="s">
        <v>47</v>
      </c>
    </row>
    <row r="121" spans="1:14" ht="15" customHeight="1">
      <c r="A121" t="s">
        <v>187</v>
      </c>
      <c r="B121" t="s">
        <v>130</v>
      </c>
      <c r="C121" s="8" t="s">
        <v>71</v>
      </c>
      <c r="D121" s="9" t="s">
        <v>72</v>
      </c>
      <c r="E121" t="s">
        <v>20</v>
      </c>
      <c r="F121" s="2">
        <v>45720</v>
      </c>
      <c r="G121" s="3">
        <v>13</v>
      </c>
      <c r="H121" s="2">
        <v>45733</v>
      </c>
      <c r="I121" s="4">
        <v>45736</v>
      </c>
      <c r="J121" s="3">
        <f>COUNTIFS('OOS Events'!$C:$C,B121,'OOS Events'!$D:$D,C121,'OOS Events'!$E:$E,"&gt;="&amp;D121-90,'OOS Events'!$E:$E,"&lt;"&amp;D121)</f>
        <v>0</v>
      </c>
      <c r="K121" s="3">
        <f>COUNTIF('OOS Events'!$B:$B,A121)</f>
        <v>0</v>
      </c>
      <c r="L121" s="3">
        <v>0</v>
      </c>
      <c r="M121" s="3">
        <v>9</v>
      </c>
      <c r="N121" t="s">
        <v>21</v>
      </c>
    </row>
    <row r="122" spans="1:14" ht="15" customHeight="1">
      <c r="A122" t="s">
        <v>188</v>
      </c>
      <c r="B122" t="s">
        <v>53</v>
      </c>
      <c r="C122" s="8" t="s">
        <v>24</v>
      </c>
      <c r="D122" s="9" t="s">
        <v>25</v>
      </c>
      <c r="E122" t="s">
        <v>60</v>
      </c>
      <c r="F122" s="2">
        <v>45720</v>
      </c>
      <c r="G122" s="3">
        <v>22</v>
      </c>
      <c r="H122" s="2">
        <v>45761</v>
      </c>
      <c r="I122" s="4">
        <v>45762</v>
      </c>
      <c r="J122" s="3">
        <f>COUNTIFS('OOS Events'!$C:$C,B122,'OOS Events'!$D:$D,C122,'OOS Events'!$E:$E,"&gt;="&amp;D122-90,'OOS Events'!$E:$E,"&lt;"&amp;D122)</f>
        <v>0</v>
      </c>
      <c r="K122" s="3">
        <f>COUNTIF('OOS Events'!$B:$B,A122)</f>
        <v>0</v>
      </c>
      <c r="L122" s="3">
        <v>3</v>
      </c>
      <c r="M122" s="3">
        <v>18</v>
      </c>
      <c r="N122" t="s">
        <v>27</v>
      </c>
    </row>
    <row r="123" spans="1:14" ht="15" customHeight="1">
      <c r="A123" t="s">
        <v>189</v>
      </c>
      <c r="B123" t="s">
        <v>55</v>
      </c>
      <c r="C123" s="8" t="s">
        <v>33</v>
      </c>
      <c r="D123" s="9" t="s">
        <v>19</v>
      </c>
      <c r="E123" t="s">
        <v>30</v>
      </c>
      <c r="F123" s="2">
        <v>45722</v>
      </c>
      <c r="G123" s="3">
        <v>15</v>
      </c>
      <c r="H123" s="2">
        <v>45742</v>
      </c>
      <c r="I123" s="2">
        <v>45741</v>
      </c>
      <c r="J123" s="3">
        <f>COUNTIFS('OOS Events'!$C:$C,B123,'OOS Events'!$D:$D,C123,'OOS Events'!$E:$E,"&gt;="&amp;D123-90,'OOS Events'!$E:$E,"&lt;"&amp;D123)</f>
        <v>0</v>
      </c>
      <c r="K123" s="3">
        <f>COUNTIF('OOS Events'!$B:$B,A123)</f>
        <v>0</v>
      </c>
      <c r="L123" s="3">
        <v>0</v>
      </c>
      <c r="M123" s="3">
        <v>25</v>
      </c>
      <c r="N123" t="s">
        <v>21</v>
      </c>
    </row>
    <row r="124" spans="1:14" ht="15" customHeight="1">
      <c r="A124" t="s">
        <v>190</v>
      </c>
      <c r="B124" t="s">
        <v>57</v>
      </c>
      <c r="C124" s="8" t="s">
        <v>24</v>
      </c>
      <c r="D124" s="9" t="s">
        <v>25</v>
      </c>
      <c r="E124" t="s">
        <v>20</v>
      </c>
      <c r="F124" s="2">
        <v>45723</v>
      </c>
      <c r="G124" s="3">
        <v>12</v>
      </c>
      <c r="H124" s="2">
        <v>45752</v>
      </c>
      <c r="I124" s="4">
        <v>45757</v>
      </c>
      <c r="J124" s="3">
        <f>COUNTIFS('OOS Events'!$C:$C,B124,'OOS Events'!$D:$D,C124,'OOS Events'!$E:$E,"&gt;="&amp;D124-90,'OOS Events'!$E:$E,"&lt;"&amp;D124)</f>
        <v>0</v>
      </c>
      <c r="K124" s="3">
        <f>COUNTIF('OOS Events'!$B:$B,A124)</f>
        <v>0</v>
      </c>
      <c r="L124" s="3">
        <v>1</v>
      </c>
      <c r="M124" s="3">
        <v>46</v>
      </c>
      <c r="N124" t="s">
        <v>35</v>
      </c>
    </row>
    <row r="125" spans="1:14" ht="15" customHeight="1">
      <c r="A125" t="s">
        <v>191</v>
      </c>
      <c r="B125" t="s">
        <v>163</v>
      </c>
      <c r="C125" s="8" t="s">
        <v>71</v>
      </c>
      <c r="D125" s="9" t="s">
        <v>72</v>
      </c>
      <c r="E125" t="s">
        <v>26</v>
      </c>
      <c r="F125" s="2">
        <v>45724</v>
      </c>
      <c r="G125" s="3">
        <v>24</v>
      </c>
      <c r="H125" s="2">
        <v>45756</v>
      </c>
      <c r="I125" s="2">
        <v>45756</v>
      </c>
      <c r="J125" s="3">
        <f>COUNTIFS('OOS Events'!$C:$C,B125,'OOS Events'!$D:$D,C125,'OOS Events'!$E:$E,"&gt;="&amp;D125-90,'OOS Events'!$E:$E,"&lt;"&amp;D125)</f>
        <v>0</v>
      </c>
      <c r="K125" s="3">
        <f>COUNTIF('OOS Events'!$B:$B,A125)</f>
        <v>0</v>
      </c>
      <c r="L125" s="3">
        <v>1</v>
      </c>
      <c r="M125" s="3">
        <v>12</v>
      </c>
      <c r="N125" t="s">
        <v>47</v>
      </c>
    </row>
    <row r="126" spans="1:14" ht="15" customHeight="1">
      <c r="A126" t="s">
        <v>192</v>
      </c>
      <c r="B126" t="s">
        <v>62</v>
      </c>
      <c r="C126" s="8" t="s">
        <v>33</v>
      </c>
      <c r="D126" s="9" t="s">
        <v>19</v>
      </c>
      <c r="E126" t="s">
        <v>34</v>
      </c>
      <c r="F126" s="2">
        <v>45724</v>
      </c>
      <c r="G126" s="3">
        <v>15</v>
      </c>
      <c r="H126" s="2">
        <v>45746</v>
      </c>
      <c r="I126" s="4">
        <v>45747</v>
      </c>
      <c r="J126" s="3">
        <f>COUNTIFS('OOS Events'!$C:$C,B126,'OOS Events'!$D:$D,C126,'OOS Events'!$E:$E,"&gt;="&amp;D126-90,'OOS Events'!$E:$E,"&lt;"&amp;D126)</f>
        <v>0</v>
      </c>
      <c r="K126" s="3">
        <f>COUNTIF('OOS Events'!$B:$B,A126)</f>
        <v>1</v>
      </c>
      <c r="L126" s="3">
        <v>0</v>
      </c>
      <c r="M126" s="3">
        <v>29</v>
      </c>
      <c r="N126" t="s">
        <v>44</v>
      </c>
    </row>
    <row r="127" spans="1:14" ht="15" customHeight="1">
      <c r="A127" t="s">
        <v>193</v>
      </c>
      <c r="B127" t="s">
        <v>64</v>
      </c>
      <c r="C127" s="8" t="s">
        <v>24</v>
      </c>
      <c r="D127" s="9" t="s">
        <v>25</v>
      </c>
      <c r="E127" t="s">
        <v>20</v>
      </c>
      <c r="F127" s="2">
        <v>45726</v>
      </c>
      <c r="G127" s="3">
        <v>14</v>
      </c>
      <c r="H127" s="2">
        <v>45757</v>
      </c>
      <c r="I127" s="2">
        <v>45757</v>
      </c>
      <c r="J127" s="3">
        <f>COUNTIFS('OOS Events'!$C:$C,B127,'OOS Events'!$D:$D,C127,'OOS Events'!$E:$E,"&gt;="&amp;D127-90,'OOS Events'!$E:$E,"&lt;"&amp;D127)</f>
        <v>0</v>
      </c>
      <c r="K127" s="3">
        <f>COUNTIF('OOS Events'!$B:$B,A127)</f>
        <v>0</v>
      </c>
      <c r="L127" s="3">
        <v>0</v>
      </c>
      <c r="M127" s="3">
        <v>21</v>
      </c>
      <c r="N127" t="s">
        <v>47</v>
      </c>
    </row>
    <row r="128" spans="1:14" ht="15" customHeight="1">
      <c r="A128" t="s">
        <v>194</v>
      </c>
      <c r="B128" t="s">
        <v>109</v>
      </c>
      <c r="C128" s="8" t="s">
        <v>24</v>
      </c>
      <c r="D128" s="9" t="s">
        <v>25</v>
      </c>
      <c r="E128" t="s">
        <v>26</v>
      </c>
      <c r="F128" s="2">
        <v>45727</v>
      </c>
      <c r="G128" s="3">
        <v>17</v>
      </c>
      <c r="H128" s="2">
        <v>45741</v>
      </c>
      <c r="I128" s="2">
        <v>45741</v>
      </c>
      <c r="J128" s="3">
        <f>COUNTIFS('OOS Events'!$C:$C,B128,'OOS Events'!$D:$D,C128,'OOS Events'!$E:$E,"&gt;="&amp;D128-90,'OOS Events'!$E:$E,"&lt;"&amp;D128)</f>
        <v>0</v>
      </c>
      <c r="K128" s="3">
        <f>COUNTIF('OOS Events'!$B:$B,A128)</f>
        <v>0</v>
      </c>
      <c r="L128" s="3">
        <v>0</v>
      </c>
      <c r="M128" s="3">
        <v>13</v>
      </c>
      <c r="N128" t="s">
        <v>21</v>
      </c>
    </row>
    <row r="129" spans="1:14" ht="15" customHeight="1">
      <c r="A129" t="s">
        <v>195</v>
      </c>
      <c r="B129" t="s">
        <v>196</v>
      </c>
      <c r="C129" s="8" t="s">
        <v>71</v>
      </c>
      <c r="D129" s="9" t="s">
        <v>72</v>
      </c>
      <c r="E129" t="s">
        <v>34</v>
      </c>
      <c r="F129" s="2">
        <v>45728</v>
      </c>
      <c r="G129" s="3">
        <v>17</v>
      </c>
      <c r="H129" s="2">
        <v>45758</v>
      </c>
      <c r="I129" s="2">
        <v>45758</v>
      </c>
      <c r="J129" s="3">
        <f>COUNTIFS('OOS Events'!$C:$C,B129,'OOS Events'!$D:$D,C129,'OOS Events'!$E:$E,"&gt;="&amp;D129-90,'OOS Events'!$E:$E,"&lt;"&amp;D129)</f>
        <v>0</v>
      </c>
      <c r="K129" s="3">
        <f>COUNTIF('OOS Events'!$B:$B,A129)</f>
        <v>0</v>
      </c>
      <c r="L129" s="3">
        <v>0</v>
      </c>
      <c r="M129" s="3">
        <v>36</v>
      </c>
      <c r="N129" t="s">
        <v>35</v>
      </c>
    </row>
    <row r="130" spans="1:14" ht="15" customHeight="1">
      <c r="A130" t="s">
        <v>197</v>
      </c>
      <c r="B130" t="s">
        <v>68</v>
      </c>
      <c r="C130" s="8" t="s">
        <v>24</v>
      </c>
      <c r="D130" s="9" t="s">
        <v>25</v>
      </c>
      <c r="E130" t="s">
        <v>30</v>
      </c>
      <c r="F130" s="2">
        <v>45728</v>
      </c>
      <c r="G130" s="3">
        <v>17</v>
      </c>
      <c r="H130" s="2">
        <v>45754</v>
      </c>
      <c r="I130" s="2">
        <v>45752</v>
      </c>
      <c r="J130" s="3">
        <f>COUNTIFS('OOS Events'!$C:$C,B130,'OOS Events'!$D:$D,C130,'OOS Events'!$E:$E,"&gt;="&amp;D130-90,'OOS Events'!$E:$E,"&lt;"&amp;D130)</f>
        <v>0</v>
      </c>
      <c r="K130" s="3">
        <f>COUNTIF('OOS Events'!$B:$B,A130)</f>
        <v>0</v>
      </c>
      <c r="L130" s="3">
        <v>0</v>
      </c>
      <c r="M130" s="3">
        <v>33</v>
      </c>
      <c r="N130" t="s">
        <v>40</v>
      </c>
    </row>
    <row r="131" spans="1:14" ht="15" customHeight="1">
      <c r="A131" t="s">
        <v>198</v>
      </c>
      <c r="B131" t="s">
        <v>70</v>
      </c>
      <c r="C131" s="8" t="s">
        <v>71</v>
      </c>
      <c r="D131" s="9" t="s">
        <v>72</v>
      </c>
      <c r="E131" t="s">
        <v>60</v>
      </c>
      <c r="F131" s="2">
        <v>45730</v>
      </c>
      <c r="G131" s="3">
        <v>27</v>
      </c>
      <c r="H131" s="2">
        <v>45761</v>
      </c>
      <c r="I131" s="4">
        <v>45763</v>
      </c>
      <c r="J131" s="3">
        <f>COUNTIFS('OOS Events'!$C:$C,B131,'OOS Events'!$D:$D,C131,'OOS Events'!$E:$E,"&gt;="&amp;D131-90,'OOS Events'!$E:$E,"&lt;"&amp;D131)</f>
        <v>0</v>
      </c>
      <c r="K131" s="3">
        <f>COUNTIF('OOS Events'!$B:$B,A131)</f>
        <v>0</v>
      </c>
      <c r="L131" s="3">
        <v>0</v>
      </c>
      <c r="M131" s="3">
        <v>39</v>
      </c>
      <c r="N131" t="s">
        <v>35</v>
      </c>
    </row>
    <row r="132" spans="1:14" ht="15" customHeight="1">
      <c r="A132" t="s">
        <v>199</v>
      </c>
      <c r="B132" t="s">
        <v>142</v>
      </c>
      <c r="C132" s="8" t="s">
        <v>71</v>
      </c>
      <c r="D132" s="9" t="s">
        <v>72</v>
      </c>
      <c r="E132" t="s">
        <v>43</v>
      </c>
      <c r="F132" s="2">
        <v>45731</v>
      </c>
      <c r="G132" s="3">
        <v>13</v>
      </c>
      <c r="H132" s="2">
        <v>45758</v>
      </c>
      <c r="I132" s="2">
        <v>45756</v>
      </c>
      <c r="J132" s="3">
        <f>COUNTIFS('OOS Events'!$C:$C,B132,'OOS Events'!$D:$D,C132,'OOS Events'!$E:$E,"&gt;="&amp;D132-90,'OOS Events'!$E:$E,"&lt;"&amp;D132)</f>
        <v>0</v>
      </c>
      <c r="K132" s="3">
        <f>COUNTIF('OOS Events'!$B:$B,A132)</f>
        <v>0</v>
      </c>
      <c r="L132" s="3">
        <v>0</v>
      </c>
      <c r="M132" s="3">
        <v>36</v>
      </c>
      <c r="N132" t="s">
        <v>47</v>
      </c>
    </row>
    <row r="133" spans="1:14" ht="15" customHeight="1">
      <c r="A133" t="s">
        <v>200</v>
      </c>
      <c r="B133" t="s">
        <v>74</v>
      </c>
      <c r="C133" s="8" t="s">
        <v>75</v>
      </c>
      <c r="D133" s="9" t="s">
        <v>72</v>
      </c>
      <c r="E133" t="s">
        <v>30</v>
      </c>
      <c r="F133" s="2">
        <v>45731</v>
      </c>
      <c r="G133" s="3">
        <v>15</v>
      </c>
      <c r="H133" s="2">
        <v>45760</v>
      </c>
      <c r="I133" s="2">
        <v>45760</v>
      </c>
      <c r="J133" s="3">
        <f>COUNTIFS('OOS Events'!$C:$C,B133,'OOS Events'!$D:$D,C133,'OOS Events'!$E:$E,"&gt;="&amp;D133-90,'OOS Events'!$E:$E,"&lt;"&amp;D133)</f>
        <v>0</v>
      </c>
      <c r="K133" s="3">
        <f>COUNTIF('OOS Events'!$B:$B,A133)</f>
        <v>1</v>
      </c>
      <c r="L133" s="3">
        <v>1</v>
      </c>
      <c r="M133" s="3">
        <v>11</v>
      </c>
      <c r="N133" t="s">
        <v>44</v>
      </c>
    </row>
    <row r="134" spans="1:14" ht="15" customHeight="1">
      <c r="A134" t="s">
        <v>201</v>
      </c>
      <c r="B134" t="s">
        <v>77</v>
      </c>
      <c r="C134" s="8" t="s">
        <v>33</v>
      </c>
      <c r="D134" s="9" t="s">
        <v>19</v>
      </c>
      <c r="E134" t="s">
        <v>20</v>
      </c>
      <c r="F134" s="2">
        <v>45732</v>
      </c>
      <c r="G134" s="3">
        <v>21</v>
      </c>
      <c r="H134" s="2">
        <v>45770</v>
      </c>
      <c r="I134" s="4">
        <v>45775</v>
      </c>
      <c r="J134" s="3">
        <f>COUNTIFS('OOS Events'!$C:$C,B134,'OOS Events'!$D:$D,C134,'OOS Events'!$E:$E,"&gt;="&amp;D134-90,'OOS Events'!$E:$E,"&lt;"&amp;D134)</f>
        <v>0</v>
      </c>
      <c r="K134" s="3">
        <f>COUNTIF('OOS Events'!$B:$B,A134)</f>
        <v>0</v>
      </c>
      <c r="L134" s="3">
        <v>1</v>
      </c>
      <c r="M134" s="3">
        <v>25</v>
      </c>
      <c r="N134" t="s">
        <v>27</v>
      </c>
    </row>
    <row r="135" spans="1:14" ht="15" customHeight="1">
      <c r="A135" t="s">
        <v>202</v>
      </c>
      <c r="B135" t="s">
        <v>174</v>
      </c>
      <c r="C135" s="8" t="s">
        <v>71</v>
      </c>
      <c r="D135" s="9" t="s">
        <v>72</v>
      </c>
      <c r="E135" t="s">
        <v>60</v>
      </c>
      <c r="F135" s="2">
        <v>45735</v>
      </c>
      <c r="G135" s="3">
        <v>28</v>
      </c>
      <c r="H135" s="2">
        <v>45767</v>
      </c>
      <c r="I135" s="2">
        <v>45765</v>
      </c>
      <c r="J135" s="3">
        <f>COUNTIFS('OOS Events'!$C:$C,B135,'OOS Events'!$D:$D,C135,'OOS Events'!$E:$E,"&gt;="&amp;D135-90,'OOS Events'!$E:$E,"&lt;"&amp;D135)</f>
        <v>0</v>
      </c>
      <c r="K135" s="3">
        <f>COUNTIF('OOS Events'!$B:$B,A135)</f>
        <v>1</v>
      </c>
      <c r="L135" s="3">
        <v>1</v>
      </c>
      <c r="M135" s="3">
        <v>21</v>
      </c>
      <c r="N135" t="s">
        <v>35</v>
      </c>
    </row>
    <row r="136" spans="1:14" ht="15" customHeight="1">
      <c r="A136" t="s">
        <v>203</v>
      </c>
      <c r="B136" t="s">
        <v>79</v>
      </c>
      <c r="C136" s="8" t="s">
        <v>33</v>
      </c>
      <c r="D136" s="9" t="s">
        <v>19</v>
      </c>
      <c r="E136" t="s">
        <v>20</v>
      </c>
      <c r="F136" s="2">
        <v>45735</v>
      </c>
      <c r="G136" s="3">
        <v>22</v>
      </c>
      <c r="H136" s="2">
        <v>45753</v>
      </c>
      <c r="I136" s="4">
        <v>45761</v>
      </c>
      <c r="J136" s="3">
        <f>COUNTIFS('OOS Events'!$C:$C,B136,'OOS Events'!$D:$D,C136,'OOS Events'!$E:$E,"&gt;="&amp;D136-90,'OOS Events'!$E:$E,"&lt;"&amp;D136)</f>
        <v>0</v>
      </c>
      <c r="K136" s="3">
        <f>COUNTIF('OOS Events'!$B:$B,A136)</f>
        <v>0</v>
      </c>
      <c r="L136" s="3">
        <v>2</v>
      </c>
      <c r="M136" s="3">
        <v>21</v>
      </c>
      <c r="N136" t="s">
        <v>40</v>
      </c>
    </row>
    <row r="137" spans="1:14" ht="15" customHeight="1">
      <c r="A137" t="s">
        <v>204</v>
      </c>
      <c r="B137" t="s">
        <v>81</v>
      </c>
      <c r="C137" s="8" t="s">
        <v>71</v>
      </c>
      <c r="D137" s="9" t="s">
        <v>72</v>
      </c>
      <c r="E137" t="s">
        <v>60</v>
      </c>
      <c r="F137" s="2">
        <v>45736</v>
      </c>
      <c r="G137" s="3">
        <v>24</v>
      </c>
      <c r="H137" s="2">
        <v>45765</v>
      </c>
      <c r="I137" s="2">
        <v>45765</v>
      </c>
      <c r="J137" s="3">
        <f>COUNTIFS('OOS Events'!$C:$C,B137,'OOS Events'!$D:$D,C137,'OOS Events'!$E:$E,"&gt;="&amp;D137-90,'OOS Events'!$E:$E,"&lt;"&amp;D137)</f>
        <v>0</v>
      </c>
      <c r="K137" s="3">
        <f>COUNTIF('OOS Events'!$B:$B,A137)</f>
        <v>0</v>
      </c>
      <c r="L137" s="3">
        <v>0</v>
      </c>
      <c r="M137" s="3">
        <v>24</v>
      </c>
      <c r="N137" t="s">
        <v>44</v>
      </c>
    </row>
    <row r="138" spans="1:14" ht="15" customHeight="1">
      <c r="A138" t="s">
        <v>205</v>
      </c>
      <c r="B138" t="s">
        <v>206</v>
      </c>
      <c r="C138" s="8" t="s">
        <v>71</v>
      </c>
      <c r="D138" s="9" t="s">
        <v>72</v>
      </c>
      <c r="E138" t="s">
        <v>20</v>
      </c>
      <c r="F138" s="2">
        <v>45739</v>
      </c>
      <c r="G138" s="3">
        <v>26</v>
      </c>
      <c r="H138" s="2">
        <v>45758</v>
      </c>
      <c r="I138" s="4">
        <v>45760</v>
      </c>
      <c r="J138" s="3">
        <f>COUNTIFS('OOS Events'!$C:$C,B138,'OOS Events'!$D:$D,C138,'OOS Events'!$E:$E,"&gt;="&amp;D138-90,'OOS Events'!$E:$E,"&lt;"&amp;D138)</f>
        <v>0</v>
      </c>
      <c r="K138" s="3">
        <f>COUNTIF('OOS Events'!$B:$B,A138)</f>
        <v>1</v>
      </c>
      <c r="L138" s="3">
        <v>1</v>
      </c>
      <c r="M138" s="3">
        <v>30</v>
      </c>
      <c r="N138" t="s">
        <v>21</v>
      </c>
    </row>
    <row r="139" spans="1:14" ht="15" customHeight="1">
      <c r="A139" t="s">
        <v>207</v>
      </c>
      <c r="B139" t="s">
        <v>83</v>
      </c>
      <c r="C139" s="8" t="s">
        <v>33</v>
      </c>
      <c r="D139" s="9" t="s">
        <v>19</v>
      </c>
      <c r="E139" t="s">
        <v>26</v>
      </c>
      <c r="F139" s="2">
        <v>45739</v>
      </c>
      <c r="G139" s="3">
        <v>18</v>
      </c>
      <c r="H139" s="2">
        <v>45777</v>
      </c>
      <c r="I139" s="4">
        <v>45778</v>
      </c>
      <c r="J139" s="3">
        <f>COUNTIFS('OOS Events'!$C:$C,B139,'OOS Events'!$D:$D,C139,'OOS Events'!$E:$E,"&gt;="&amp;D139-90,'OOS Events'!$E:$E,"&lt;"&amp;D139)</f>
        <v>0</v>
      </c>
      <c r="K139" s="3">
        <f>COUNTIF('OOS Events'!$B:$B,A139)</f>
        <v>0</v>
      </c>
      <c r="L139" s="3">
        <v>0</v>
      </c>
      <c r="M139" s="3">
        <v>29</v>
      </c>
      <c r="N139" t="s">
        <v>27</v>
      </c>
    </row>
    <row r="140" spans="1:14" ht="15" customHeight="1">
      <c r="A140" t="s">
        <v>208</v>
      </c>
      <c r="B140" t="s">
        <v>85</v>
      </c>
      <c r="C140" s="8" t="s">
        <v>71</v>
      </c>
      <c r="D140" s="9" t="s">
        <v>72</v>
      </c>
      <c r="E140" t="s">
        <v>43</v>
      </c>
      <c r="F140" s="2">
        <v>45740</v>
      </c>
      <c r="G140" s="3">
        <v>23</v>
      </c>
      <c r="H140" s="2">
        <v>45766</v>
      </c>
      <c r="I140" s="4">
        <v>45769</v>
      </c>
      <c r="J140" s="3">
        <f>COUNTIFS('OOS Events'!$C:$C,B140,'OOS Events'!$D:$D,C140,'OOS Events'!$E:$E,"&gt;="&amp;D140-90,'OOS Events'!$E:$E,"&lt;"&amp;D140)</f>
        <v>0</v>
      </c>
      <c r="K140" s="3">
        <f>COUNTIF('OOS Events'!$B:$B,A140)</f>
        <v>0</v>
      </c>
      <c r="L140" s="3">
        <v>0</v>
      </c>
      <c r="M140" s="3">
        <v>14</v>
      </c>
      <c r="N140" t="s">
        <v>40</v>
      </c>
    </row>
    <row r="141" spans="1:14" ht="15" customHeight="1">
      <c r="A141" t="s">
        <v>209</v>
      </c>
      <c r="B141" t="s">
        <v>89</v>
      </c>
      <c r="C141" s="8" t="s">
        <v>24</v>
      </c>
      <c r="D141" s="9" t="s">
        <v>25</v>
      </c>
      <c r="E141" t="s">
        <v>43</v>
      </c>
      <c r="F141" s="2">
        <v>45743</v>
      </c>
      <c r="G141" s="3">
        <v>20</v>
      </c>
      <c r="H141" s="2">
        <v>45765</v>
      </c>
      <c r="I141" s="2">
        <v>45762</v>
      </c>
      <c r="J141" s="3">
        <f>COUNTIFS('OOS Events'!$C:$C,B141,'OOS Events'!$D:$D,C141,'OOS Events'!$E:$E,"&gt;="&amp;D141-90,'OOS Events'!$E:$E,"&lt;"&amp;D141)</f>
        <v>0</v>
      </c>
      <c r="K141" s="3">
        <f>COUNTIF('OOS Events'!$B:$B,A141)</f>
        <v>0</v>
      </c>
      <c r="L141" s="3">
        <v>0</v>
      </c>
      <c r="M141" s="3">
        <v>33</v>
      </c>
      <c r="N141" t="s">
        <v>44</v>
      </c>
    </row>
    <row r="142" spans="1:14" ht="15" customHeight="1">
      <c r="A142" t="s">
        <v>210</v>
      </c>
      <c r="B142" t="s">
        <v>91</v>
      </c>
      <c r="C142" s="8" t="s">
        <v>24</v>
      </c>
      <c r="D142" s="9" t="s">
        <v>25</v>
      </c>
      <c r="E142" t="s">
        <v>60</v>
      </c>
      <c r="F142" s="2">
        <v>45744</v>
      </c>
      <c r="G142" s="3">
        <v>24</v>
      </c>
      <c r="H142" s="2">
        <v>45782</v>
      </c>
      <c r="I142" s="4">
        <v>45783</v>
      </c>
      <c r="J142" s="3">
        <f>COUNTIFS('OOS Events'!$C:$C,B142,'OOS Events'!$D:$D,C142,'OOS Events'!$E:$E,"&gt;="&amp;D142-90,'OOS Events'!$E:$E,"&lt;"&amp;D142)</f>
        <v>0</v>
      </c>
      <c r="K142" s="3">
        <f>COUNTIF('OOS Events'!$B:$B,A142)</f>
        <v>0</v>
      </c>
      <c r="L142" s="3">
        <v>2</v>
      </c>
      <c r="M142" s="3">
        <v>22</v>
      </c>
      <c r="N142" t="s">
        <v>27</v>
      </c>
    </row>
    <row r="143" spans="1:14" ht="15" customHeight="1">
      <c r="A143" t="s">
        <v>211</v>
      </c>
      <c r="B143" t="s">
        <v>17</v>
      </c>
      <c r="C143" s="8" t="s">
        <v>18</v>
      </c>
      <c r="D143" s="9" t="s">
        <v>19</v>
      </c>
      <c r="E143" t="s">
        <v>20</v>
      </c>
      <c r="F143" s="2">
        <v>45745</v>
      </c>
      <c r="G143" s="3">
        <v>16</v>
      </c>
      <c r="H143" s="2">
        <v>45763</v>
      </c>
      <c r="I143" s="4">
        <v>45764</v>
      </c>
      <c r="J143" s="3">
        <f>COUNTIFS('OOS Events'!$C:$C,B143,'OOS Events'!$D:$D,C143,'OOS Events'!$E:$E,"&gt;="&amp;D143-90,'OOS Events'!$E:$E,"&lt;"&amp;D143)</f>
        <v>0</v>
      </c>
      <c r="K143" s="3">
        <f>COUNTIF('OOS Events'!$B:$B,A143)</f>
        <v>0</v>
      </c>
      <c r="L143" s="3">
        <v>2</v>
      </c>
      <c r="M143" s="3">
        <v>21</v>
      </c>
      <c r="N143" t="s">
        <v>40</v>
      </c>
    </row>
    <row r="144" spans="1:14" ht="15" customHeight="1">
      <c r="A144" t="s">
        <v>212</v>
      </c>
      <c r="B144" t="s">
        <v>29</v>
      </c>
      <c r="C144" s="8" t="s">
        <v>24</v>
      </c>
      <c r="D144" s="9" t="s">
        <v>25</v>
      </c>
      <c r="E144" t="s">
        <v>30</v>
      </c>
      <c r="F144" s="2">
        <v>45747</v>
      </c>
      <c r="G144" s="3">
        <v>19</v>
      </c>
      <c r="H144" s="2">
        <v>45773</v>
      </c>
      <c r="I144" s="4">
        <v>45781</v>
      </c>
      <c r="J144" s="3">
        <f>COUNTIFS('OOS Events'!$C:$C,B144,'OOS Events'!$D:$D,C144,'OOS Events'!$E:$E,"&gt;="&amp;D144-90,'OOS Events'!$E:$E,"&lt;"&amp;D144)</f>
        <v>0</v>
      </c>
      <c r="K144" s="3">
        <f>COUNTIF('OOS Events'!$B:$B,A144)</f>
        <v>1</v>
      </c>
      <c r="L144" s="3">
        <v>0</v>
      </c>
      <c r="M144" s="3">
        <v>13</v>
      </c>
      <c r="N144" t="s">
        <v>40</v>
      </c>
    </row>
    <row r="145" spans="1:14" ht="15" customHeight="1">
      <c r="A145" t="s">
        <v>213</v>
      </c>
      <c r="B145" t="s">
        <v>32</v>
      </c>
      <c r="C145" s="8" t="s">
        <v>33</v>
      </c>
      <c r="D145" s="9" t="s">
        <v>19</v>
      </c>
      <c r="E145" t="s">
        <v>34</v>
      </c>
      <c r="F145" s="2">
        <v>45748</v>
      </c>
      <c r="G145" s="3">
        <v>8</v>
      </c>
      <c r="H145" s="2">
        <v>45771</v>
      </c>
      <c r="I145" s="2">
        <v>45768</v>
      </c>
      <c r="J145" s="3">
        <f>COUNTIFS('OOS Events'!$C:$C,B145,'OOS Events'!$D:$D,C145,'OOS Events'!$E:$E,"&gt;="&amp;D145-90,'OOS Events'!$E:$E,"&lt;"&amp;D145)</f>
        <v>0</v>
      </c>
      <c r="K145" s="3">
        <f>COUNTIF('OOS Events'!$B:$B,A145)</f>
        <v>1</v>
      </c>
      <c r="L145" s="3">
        <v>0</v>
      </c>
      <c r="M145" s="3">
        <v>28</v>
      </c>
      <c r="N145" t="s">
        <v>44</v>
      </c>
    </row>
    <row r="146" spans="1:14" ht="15" customHeight="1">
      <c r="A146" t="s">
        <v>214</v>
      </c>
      <c r="B146" t="s">
        <v>97</v>
      </c>
      <c r="C146" s="8" t="s">
        <v>18</v>
      </c>
      <c r="D146" s="9" t="s">
        <v>19</v>
      </c>
      <c r="E146" t="s">
        <v>30</v>
      </c>
      <c r="F146" s="2">
        <v>45749</v>
      </c>
      <c r="G146" s="3">
        <v>14</v>
      </c>
      <c r="H146" s="2">
        <v>45789</v>
      </c>
      <c r="I146" s="2">
        <v>45788</v>
      </c>
      <c r="J146" s="3">
        <f>COUNTIFS('OOS Events'!$C:$C,B146,'OOS Events'!$D:$D,C146,'OOS Events'!$E:$E,"&gt;="&amp;D146-90,'OOS Events'!$E:$E,"&lt;"&amp;D146)</f>
        <v>0</v>
      </c>
      <c r="K146" s="3">
        <f>COUNTIF('OOS Events'!$B:$B,A146)</f>
        <v>2</v>
      </c>
      <c r="L146" s="3">
        <v>1</v>
      </c>
      <c r="M146" s="3">
        <v>30</v>
      </c>
      <c r="N146" t="s">
        <v>27</v>
      </c>
    </row>
    <row r="147" spans="1:14" ht="15" customHeight="1">
      <c r="A147" t="s">
        <v>215</v>
      </c>
      <c r="B147" t="s">
        <v>46</v>
      </c>
      <c r="C147" s="8" t="s">
        <v>24</v>
      </c>
      <c r="D147" s="9" t="s">
        <v>25</v>
      </c>
      <c r="E147" t="s">
        <v>34</v>
      </c>
      <c r="F147" s="2">
        <v>45751</v>
      </c>
      <c r="G147" s="3">
        <v>6</v>
      </c>
      <c r="H147" s="2">
        <v>45787</v>
      </c>
      <c r="I147" s="2">
        <v>45787</v>
      </c>
      <c r="J147" s="3">
        <f>COUNTIFS('OOS Events'!$C:$C,B147,'OOS Events'!$D:$D,C147,'OOS Events'!$E:$E,"&gt;="&amp;D147-90,'OOS Events'!$E:$E,"&lt;"&amp;D147)</f>
        <v>0</v>
      </c>
      <c r="K147" s="3">
        <f>COUNTIF('OOS Events'!$B:$B,A147)</f>
        <v>0</v>
      </c>
      <c r="L147" s="3">
        <v>2</v>
      </c>
      <c r="M147" s="3">
        <v>37</v>
      </c>
      <c r="N147" t="s">
        <v>27</v>
      </c>
    </row>
    <row r="148" spans="1:14" ht="15" customHeight="1">
      <c r="A148" t="s">
        <v>216</v>
      </c>
      <c r="B148" t="s">
        <v>49</v>
      </c>
      <c r="C148" s="8" t="s">
        <v>33</v>
      </c>
      <c r="D148" s="9" t="s">
        <v>19</v>
      </c>
      <c r="E148" t="s">
        <v>30</v>
      </c>
      <c r="F148" s="2">
        <v>45752</v>
      </c>
      <c r="G148" s="3">
        <v>19</v>
      </c>
      <c r="H148" s="2">
        <v>45775</v>
      </c>
      <c r="I148" s="2">
        <v>45775</v>
      </c>
      <c r="J148" s="3">
        <f>COUNTIFS('OOS Events'!$C:$C,B148,'OOS Events'!$D:$D,C148,'OOS Events'!$E:$E,"&gt;="&amp;D148-90,'OOS Events'!$E:$E,"&lt;"&amp;D148)</f>
        <v>0</v>
      </c>
      <c r="K148" s="3">
        <f>COUNTIF('OOS Events'!$B:$B,A148)</f>
        <v>1</v>
      </c>
      <c r="L148" s="3">
        <v>0</v>
      </c>
      <c r="M148" s="3">
        <v>30</v>
      </c>
      <c r="N148" t="s">
        <v>40</v>
      </c>
    </row>
    <row r="149" spans="1:14" ht="15" customHeight="1">
      <c r="A149" t="s">
        <v>217</v>
      </c>
      <c r="B149" t="s">
        <v>130</v>
      </c>
      <c r="C149" s="8" t="s">
        <v>71</v>
      </c>
      <c r="D149" s="9" t="s">
        <v>72</v>
      </c>
      <c r="E149" t="s">
        <v>20</v>
      </c>
      <c r="F149" s="2">
        <v>45753</v>
      </c>
      <c r="G149" s="3">
        <v>20</v>
      </c>
      <c r="H149" s="2">
        <v>45774</v>
      </c>
      <c r="I149" s="4">
        <v>45775</v>
      </c>
      <c r="J149" s="3">
        <f>COUNTIFS('OOS Events'!$C:$C,B149,'OOS Events'!$D:$D,C149,'OOS Events'!$E:$E,"&gt;="&amp;D149-90,'OOS Events'!$E:$E,"&lt;"&amp;D149)</f>
        <v>0</v>
      </c>
      <c r="K149" s="3">
        <f>COUNTIF('OOS Events'!$B:$B,A149)</f>
        <v>0</v>
      </c>
      <c r="L149" s="3">
        <v>1</v>
      </c>
      <c r="M149" s="3">
        <v>26</v>
      </c>
      <c r="N149" t="s">
        <v>44</v>
      </c>
    </row>
    <row r="150" spans="1:14" ht="15" customHeight="1">
      <c r="A150" t="s">
        <v>218</v>
      </c>
      <c r="B150" t="s">
        <v>55</v>
      </c>
      <c r="C150" s="8" t="s">
        <v>33</v>
      </c>
      <c r="D150" s="9" t="s">
        <v>19</v>
      </c>
      <c r="E150" t="s">
        <v>30</v>
      </c>
      <c r="F150" s="2">
        <v>45755</v>
      </c>
      <c r="G150" s="3">
        <v>20</v>
      </c>
      <c r="H150" s="2">
        <v>45782</v>
      </c>
      <c r="I150" s="2">
        <v>45781</v>
      </c>
      <c r="J150" s="3">
        <f>COUNTIFS('OOS Events'!$C:$C,B150,'OOS Events'!$D:$D,C150,'OOS Events'!$E:$E,"&gt;="&amp;D150-90,'OOS Events'!$E:$E,"&lt;"&amp;D150)</f>
        <v>0</v>
      </c>
      <c r="K150" s="3">
        <f>COUNTIF('OOS Events'!$B:$B,A150)</f>
        <v>1</v>
      </c>
      <c r="L150" s="3">
        <v>1</v>
      </c>
      <c r="M150" s="3">
        <v>34</v>
      </c>
      <c r="N150" t="s">
        <v>44</v>
      </c>
    </row>
    <row r="151" spans="1:14" ht="15" customHeight="1">
      <c r="A151" t="s">
        <v>219</v>
      </c>
      <c r="B151" t="s">
        <v>57</v>
      </c>
      <c r="C151" s="8" t="s">
        <v>24</v>
      </c>
      <c r="D151" s="9" t="s">
        <v>25</v>
      </c>
      <c r="E151" t="s">
        <v>43</v>
      </c>
      <c r="F151" s="2">
        <v>45756</v>
      </c>
      <c r="G151" s="3">
        <v>21</v>
      </c>
      <c r="H151" s="2">
        <v>45793</v>
      </c>
      <c r="I151" s="4">
        <v>45794</v>
      </c>
      <c r="J151" s="3">
        <f>COUNTIFS('OOS Events'!$C:$C,B151,'OOS Events'!$D:$D,C151,'OOS Events'!$E:$E,"&gt;="&amp;D151-90,'OOS Events'!$E:$E,"&lt;"&amp;D151)</f>
        <v>0</v>
      </c>
      <c r="K151" s="3">
        <f>COUNTIF('OOS Events'!$B:$B,A151)</f>
        <v>0</v>
      </c>
      <c r="L151" s="3">
        <v>0</v>
      </c>
      <c r="M151" s="3">
        <v>33</v>
      </c>
      <c r="N151" t="s">
        <v>27</v>
      </c>
    </row>
    <row r="152" spans="1:14" ht="15" customHeight="1">
      <c r="A152" t="s">
        <v>220</v>
      </c>
      <c r="B152" t="s">
        <v>163</v>
      </c>
      <c r="C152" s="8" t="s">
        <v>71</v>
      </c>
      <c r="D152" s="9" t="s">
        <v>72</v>
      </c>
      <c r="E152" t="s">
        <v>26</v>
      </c>
      <c r="F152" s="2">
        <v>45757</v>
      </c>
      <c r="G152" s="3">
        <v>17</v>
      </c>
      <c r="H152" s="2">
        <v>45778</v>
      </c>
      <c r="I152" s="2">
        <v>45778</v>
      </c>
      <c r="J152" s="3">
        <f>COUNTIFS('OOS Events'!$C:$C,B152,'OOS Events'!$D:$D,C152,'OOS Events'!$E:$E,"&gt;="&amp;D152-90,'OOS Events'!$E:$E,"&lt;"&amp;D152)</f>
        <v>0</v>
      </c>
      <c r="K152" s="3">
        <f>COUNTIF('OOS Events'!$B:$B,A152)</f>
        <v>1</v>
      </c>
      <c r="L152" s="3">
        <v>0</v>
      </c>
      <c r="M152" s="3">
        <v>35</v>
      </c>
      <c r="N152" t="s">
        <v>40</v>
      </c>
    </row>
    <row r="153" spans="1:14" ht="15" customHeight="1">
      <c r="A153" t="s">
        <v>221</v>
      </c>
      <c r="B153" t="s">
        <v>62</v>
      </c>
      <c r="C153" s="8" t="s">
        <v>33</v>
      </c>
      <c r="D153" s="9" t="s">
        <v>19</v>
      </c>
      <c r="E153" t="s">
        <v>34</v>
      </c>
      <c r="F153" s="2">
        <v>45757</v>
      </c>
      <c r="G153" s="3">
        <v>10</v>
      </c>
      <c r="H153" s="2">
        <v>45793</v>
      </c>
      <c r="I153" s="2">
        <v>45793</v>
      </c>
      <c r="J153" s="3">
        <f>COUNTIFS('OOS Events'!$C:$C,B153,'OOS Events'!$D:$D,C153,'OOS Events'!$E:$E,"&gt;="&amp;D153-90,'OOS Events'!$E:$E,"&lt;"&amp;D153)</f>
        <v>0</v>
      </c>
      <c r="K153" s="3">
        <f>COUNTIF('OOS Events'!$B:$B,A153)</f>
        <v>0</v>
      </c>
      <c r="L153" s="3">
        <v>2</v>
      </c>
      <c r="M153" s="3">
        <v>34</v>
      </c>
      <c r="N153" t="s">
        <v>35</v>
      </c>
    </row>
    <row r="154" spans="1:14" ht="15" customHeight="1">
      <c r="A154" t="s">
        <v>222</v>
      </c>
      <c r="B154" t="s">
        <v>64</v>
      </c>
      <c r="C154" s="8" t="s">
        <v>24</v>
      </c>
      <c r="D154" s="9" t="s">
        <v>25</v>
      </c>
      <c r="E154" t="s">
        <v>20</v>
      </c>
      <c r="F154" s="2">
        <v>45759</v>
      </c>
      <c r="G154" s="3">
        <v>14</v>
      </c>
      <c r="H154" s="2">
        <v>45778</v>
      </c>
      <c r="I154" s="4">
        <v>45779</v>
      </c>
      <c r="J154" s="3">
        <f>COUNTIFS('OOS Events'!$C:$C,B154,'OOS Events'!$D:$D,C154,'OOS Events'!$E:$E,"&gt;="&amp;D154-90,'OOS Events'!$E:$E,"&lt;"&amp;D154)</f>
        <v>0</v>
      </c>
      <c r="K154" s="3">
        <f>COUNTIF('OOS Events'!$B:$B,A154)</f>
        <v>0</v>
      </c>
      <c r="L154" s="3">
        <v>1</v>
      </c>
      <c r="M154" s="3">
        <v>9</v>
      </c>
      <c r="N154" t="s">
        <v>40</v>
      </c>
    </row>
    <row r="155" spans="1:14" ht="15" customHeight="1">
      <c r="A155" t="s">
        <v>223</v>
      </c>
      <c r="B155" t="s">
        <v>109</v>
      </c>
      <c r="C155" s="8" t="s">
        <v>24</v>
      </c>
      <c r="D155" s="9" t="s">
        <v>25</v>
      </c>
      <c r="E155" t="s">
        <v>26</v>
      </c>
      <c r="F155" s="2">
        <v>45760</v>
      </c>
      <c r="G155" s="3">
        <v>22</v>
      </c>
      <c r="H155" s="2">
        <v>45782</v>
      </c>
      <c r="I155" s="4">
        <v>45785</v>
      </c>
      <c r="J155" s="3">
        <f>COUNTIFS('OOS Events'!$C:$C,B155,'OOS Events'!$D:$D,C155,'OOS Events'!$E:$E,"&gt;="&amp;D155-90,'OOS Events'!$E:$E,"&lt;"&amp;D155)</f>
        <v>0</v>
      </c>
      <c r="K155" s="3">
        <f>COUNTIF('OOS Events'!$B:$B,A155)</f>
        <v>0</v>
      </c>
      <c r="L155" s="3">
        <v>3</v>
      </c>
      <c r="M155" s="3">
        <v>28</v>
      </c>
      <c r="N155" t="s">
        <v>44</v>
      </c>
    </row>
    <row r="156" spans="1:14" ht="15" customHeight="1">
      <c r="A156" t="s">
        <v>224</v>
      </c>
      <c r="B156" t="s">
        <v>196</v>
      </c>
      <c r="C156" s="8" t="s">
        <v>71</v>
      </c>
      <c r="D156" s="9" t="s">
        <v>72</v>
      </c>
      <c r="E156" t="s">
        <v>43</v>
      </c>
      <c r="F156" s="2">
        <v>45761</v>
      </c>
      <c r="G156" s="3">
        <v>21</v>
      </c>
      <c r="H156" s="2">
        <v>45801</v>
      </c>
      <c r="I156" s="4">
        <v>45806</v>
      </c>
      <c r="J156" s="3">
        <f>COUNTIFS('OOS Events'!$C:$C,B156,'OOS Events'!$D:$D,C156,'OOS Events'!$E:$E,"&gt;="&amp;D156-90,'OOS Events'!$E:$E,"&lt;"&amp;D156)</f>
        <v>0</v>
      </c>
      <c r="K156" s="3">
        <f>COUNTIF('OOS Events'!$B:$B,A156)</f>
        <v>1</v>
      </c>
      <c r="L156" s="3">
        <v>0</v>
      </c>
      <c r="M156" s="3">
        <v>46</v>
      </c>
      <c r="N156" t="s">
        <v>27</v>
      </c>
    </row>
    <row r="157" spans="1:14" ht="15" customHeight="1">
      <c r="A157" t="s">
        <v>225</v>
      </c>
      <c r="B157" t="s">
        <v>68</v>
      </c>
      <c r="C157" s="8" t="s">
        <v>24</v>
      </c>
      <c r="D157" s="9" t="s">
        <v>25</v>
      </c>
      <c r="E157" t="s">
        <v>30</v>
      </c>
      <c r="F157" s="2">
        <v>45761</v>
      </c>
      <c r="G157" s="3">
        <v>22</v>
      </c>
      <c r="H157" s="2">
        <v>45781</v>
      </c>
      <c r="I157" s="2">
        <v>45781</v>
      </c>
      <c r="J157" s="3">
        <f>COUNTIFS('OOS Events'!$C:$C,B157,'OOS Events'!$D:$D,C157,'OOS Events'!$E:$E,"&gt;="&amp;D157-90,'OOS Events'!$E:$E,"&lt;"&amp;D157)</f>
        <v>0</v>
      </c>
      <c r="K157" s="3">
        <f>COUNTIF('OOS Events'!$B:$B,A157)</f>
        <v>1</v>
      </c>
      <c r="L157" s="3">
        <v>1</v>
      </c>
      <c r="M157" s="3">
        <v>26</v>
      </c>
      <c r="N157" t="s">
        <v>21</v>
      </c>
    </row>
    <row r="158" spans="1:14" ht="15" customHeight="1">
      <c r="A158" t="s">
        <v>226</v>
      </c>
      <c r="B158" t="s">
        <v>70</v>
      </c>
      <c r="C158" s="8" t="s">
        <v>71</v>
      </c>
      <c r="D158" s="9" t="s">
        <v>72</v>
      </c>
      <c r="E158" t="s">
        <v>26</v>
      </c>
      <c r="F158" s="2">
        <v>45763</v>
      </c>
      <c r="G158" s="3">
        <v>14</v>
      </c>
      <c r="H158" s="2">
        <v>45804</v>
      </c>
      <c r="I158" s="4">
        <v>45805</v>
      </c>
      <c r="J158" s="3">
        <f>COUNTIFS('OOS Events'!$C:$C,B158,'OOS Events'!$D:$D,C158,'OOS Events'!$E:$E,"&gt;="&amp;D158-90,'OOS Events'!$E:$E,"&lt;"&amp;D158)</f>
        <v>0</v>
      </c>
      <c r="K158" s="3">
        <f>COUNTIF('OOS Events'!$B:$B,A158)</f>
        <v>1</v>
      </c>
      <c r="L158" s="3">
        <v>1</v>
      </c>
      <c r="M158" s="3">
        <v>33</v>
      </c>
      <c r="N158" t="s">
        <v>27</v>
      </c>
    </row>
    <row r="159" spans="1:14" ht="15" customHeight="1">
      <c r="A159" t="s">
        <v>227</v>
      </c>
      <c r="B159" t="s">
        <v>142</v>
      </c>
      <c r="C159" s="8" t="s">
        <v>71</v>
      </c>
      <c r="D159" s="9" t="s">
        <v>72</v>
      </c>
      <c r="E159" t="s">
        <v>43</v>
      </c>
      <c r="F159" s="2">
        <v>45764</v>
      </c>
      <c r="G159" s="3">
        <v>21</v>
      </c>
      <c r="H159" s="2">
        <v>45784</v>
      </c>
      <c r="I159" s="4">
        <v>45786</v>
      </c>
      <c r="J159" s="3">
        <f>COUNTIFS('OOS Events'!$C:$C,B159,'OOS Events'!$D:$D,C159,'OOS Events'!$E:$E,"&gt;="&amp;D159-90,'OOS Events'!$E:$E,"&lt;"&amp;D159)</f>
        <v>0</v>
      </c>
      <c r="K159" s="3">
        <f>COUNTIF('OOS Events'!$B:$B,A159)</f>
        <v>0</v>
      </c>
      <c r="L159" s="3">
        <v>1</v>
      </c>
      <c r="M159" s="3">
        <v>28</v>
      </c>
      <c r="N159" t="s">
        <v>40</v>
      </c>
    </row>
    <row r="160" spans="1:14" ht="15" customHeight="1">
      <c r="A160" t="s">
        <v>228</v>
      </c>
      <c r="B160" t="s">
        <v>229</v>
      </c>
      <c r="C160" s="8" t="s">
        <v>33</v>
      </c>
      <c r="D160" s="9" t="s">
        <v>19</v>
      </c>
      <c r="E160" t="s">
        <v>30</v>
      </c>
      <c r="F160" s="2">
        <v>45765</v>
      </c>
      <c r="G160" s="3">
        <v>18</v>
      </c>
      <c r="H160" s="2">
        <v>45787</v>
      </c>
      <c r="I160" s="2">
        <v>45787</v>
      </c>
      <c r="J160" s="3">
        <f>COUNTIFS('OOS Events'!$C:$C,B160,'OOS Events'!$D:$D,C160,'OOS Events'!$E:$E,"&gt;="&amp;D160-90,'OOS Events'!$E:$E,"&lt;"&amp;D160)</f>
        <v>0</v>
      </c>
      <c r="K160" s="3">
        <f>COUNTIF('OOS Events'!$B:$B,A160)</f>
        <v>0</v>
      </c>
      <c r="L160" s="3">
        <v>1</v>
      </c>
      <c r="M160" s="3">
        <v>23</v>
      </c>
      <c r="N160" t="s">
        <v>44</v>
      </c>
    </row>
    <row r="161" spans="1:14" ht="15" customHeight="1">
      <c r="A161" t="s">
        <v>230</v>
      </c>
      <c r="B161" t="s">
        <v>77</v>
      </c>
      <c r="C161" s="8" t="s">
        <v>33</v>
      </c>
      <c r="D161" s="9" t="s">
        <v>19</v>
      </c>
      <c r="E161" t="s">
        <v>20</v>
      </c>
      <c r="F161" s="2">
        <v>45765</v>
      </c>
      <c r="G161" s="3">
        <v>20</v>
      </c>
      <c r="H161" s="2">
        <v>45794</v>
      </c>
      <c r="I161" s="4">
        <v>45797</v>
      </c>
      <c r="J161" s="3">
        <f>COUNTIFS('OOS Events'!$C:$C,B161,'OOS Events'!$D:$D,C161,'OOS Events'!$E:$E,"&gt;="&amp;D161-90,'OOS Events'!$E:$E,"&lt;"&amp;D161)</f>
        <v>0</v>
      </c>
      <c r="K161" s="3">
        <f>COUNTIF('OOS Events'!$B:$B,A161)</f>
        <v>0</v>
      </c>
      <c r="L161" s="3">
        <v>0</v>
      </c>
      <c r="M161" s="3">
        <v>11</v>
      </c>
      <c r="N161" t="s">
        <v>47</v>
      </c>
    </row>
    <row r="162" spans="1:14" ht="15" customHeight="1">
      <c r="A162" t="s">
        <v>231</v>
      </c>
      <c r="B162" t="s">
        <v>174</v>
      </c>
      <c r="C162" s="8" t="s">
        <v>71</v>
      </c>
      <c r="D162" s="9" t="s">
        <v>72</v>
      </c>
      <c r="E162" t="s">
        <v>60</v>
      </c>
      <c r="F162" s="2">
        <v>45768</v>
      </c>
      <c r="G162" s="3">
        <v>17</v>
      </c>
      <c r="H162" s="2">
        <v>45805</v>
      </c>
      <c r="I162" s="4">
        <v>45813</v>
      </c>
      <c r="J162" s="3">
        <f>COUNTIFS('OOS Events'!$C:$C,B162,'OOS Events'!$D:$D,C162,'OOS Events'!$E:$E,"&gt;="&amp;D162-90,'OOS Events'!$E:$E,"&lt;"&amp;D162)</f>
        <v>0</v>
      </c>
      <c r="K162" s="3">
        <f>COUNTIF('OOS Events'!$B:$B,A162)</f>
        <v>1</v>
      </c>
      <c r="L162" s="3">
        <v>2</v>
      </c>
      <c r="M162" s="3">
        <v>20</v>
      </c>
      <c r="N162" t="s">
        <v>27</v>
      </c>
    </row>
    <row r="163" spans="1:14" ht="15" customHeight="1">
      <c r="A163" t="s">
        <v>232</v>
      </c>
      <c r="B163" t="s">
        <v>79</v>
      </c>
      <c r="C163" s="8" t="s">
        <v>33</v>
      </c>
      <c r="D163" s="9" t="s">
        <v>19</v>
      </c>
      <c r="E163" t="s">
        <v>20</v>
      </c>
      <c r="F163" s="2">
        <v>45768</v>
      </c>
      <c r="G163" s="3">
        <v>14</v>
      </c>
      <c r="H163" s="2">
        <v>45782</v>
      </c>
      <c r="I163" s="4">
        <v>45794</v>
      </c>
      <c r="J163" s="3">
        <f>COUNTIFS('OOS Events'!$C:$C,B163,'OOS Events'!$D:$D,C163,'OOS Events'!$E:$E,"&gt;="&amp;D163-90,'OOS Events'!$E:$E,"&lt;"&amp;D163)</f>
        <v>0</v>
      </c>
      <c r="K163" s="3">
        <f>COUNTIF('OOS Events'!$B:$B,A163)</f>
        <v>1</v>
      </c>
      <c r="L163" s="3">
        <v>2</v>
      </c>
      <c r="M163" s="3">
        <v>21</v>
      </c>
      <c r="N163" t="s">
        <v>21</v>
      </c>
    </row>
    <row r="164" spans="1:14" ht="15" customHeight="1">
      <c r="A164" t="s">
        <v>233</v>
      </c>
      <c r="B164" t="s">
        <v>81</v>
      </c>
      <c r="C164" s="8" t="s">
        <v>71</v>
      </c>
      <c r="D164" s="9" t="s">
        <v>72</v>
      </c>
      <c r="E164" t="s">
        <v>26</v>
      </c>
      <c r="F164" s="2">
        <v>45769</v>
      </c>
      <c r="G164" s="3">
        <v>21</v>
      </c>
      <c r="H164" s="2">
        <v>45803</v>
      </c>
      <c r="I164" s="4">
        <v>45804</v>
      </c>
      <c r="J164" s="3">
        <f>COUNTIFS('OOS Events'!$C:$C,B164,'OOS Events'!$D:$D,C164,'OOS Events'!$E:$E,"&gt;="&amp;D164-90,'OOS Events'!$E:$E,"&lt;"&amp;D164)</f>
        <v>0</v>
      </c>
      <c r="K164" s="3">
        <f>COUNTIF('OOS Events'!$B:$B,A164)</f>
        <v>1</v>
      </c>
      <c r="L164" s="3">
        <v>1</v>
      </c>
      <c r="M164" s="3">
        <v>27</v>
      </c>
      <c r="N164" t="s">
        <v>35</v>
      </c>
    </row>
    <row r="165" spans="1:14" ht="15" customHeight="1">
      <c r="A165" t="s">
        <v>234</v>
      </c>
      <c r="B165" t="s">
        <v>206</v>
      </c>
      <c r="C165" s="8" t="s">
        <v>71</v>
      </c>
      <c r="D165" s="9" t="s">
        <v>72</v>
      </c>
      <c r="E165" t="s">
        <v>34</v>
      </c>
      <c r="F165" s="2">
        <v>45772</v>
      </c>
      <c r="G165" s="3">
        <v>13</v>
      </c>
      <c r="H165" s="2">
        <v>45798</v>
      </c>
      <c r="I165" s="2">
        <v>45798</v>
      </c>
      <c r="J165" s="3">
        <f>COUNTIFS('OOS Events'!$C:$C,B165,'OOS Events'!$D:$D,C165,'OOS Events'!$E:$E,"&gt;="&amp;D165-90,'OOS Events'!$E:$E,"&lt;"&amp;D165)</f>
        <v>0</v>
      </c>
      <c r="K165" s="3">
        <f>COUNTIF('OOS Events'!$B:$B,A165)</f>
        <v>0</v>
      </c>
      <c r="L165" s="3">
        <v>0</v>
      </c>
      <c r="M165" s="3">
        <v>30</v>
      </c>
      <c r="N165" t="s">
        <v>44</v>
      </c>
    </row>
    <row r="166" spans="1:14" ht="15" customHeight="1">
      <c r="A166" t="s">
        <v>235</v>
      </c>
      <c r="B166" t="s">
        <v>83</v>
      </c>
      <c r="C166" s="8" t="s">
        <v>33</v>
      </c>
      <c r="D166" s="9" t="s">
        <v>19</v>
      </c>
      <c r="E166" t="s">
        <v>26</v>
      </c>
      <c r="F166" s="2">
        <v>45772</v>
      </c>
      <c r="G166" s="3">
        <v>22</v>
      </c>
      <c r="H166" s="2">
        <v>45797</v>
      </c>
      <c r="I166" s="4">
        <v>45798</v>
      </c>
      <c r="J166" s="3">
        <f>COUNTIFS('OOS Events'!$C:$C,B166,'OOS Events'!$D:$D,C166,'OOS Events'!$E:$E,"&gt;="&amp;D166-90,'OOS Events'!$E:$E,"&lt;"&amp;D166)</f>
        <v>0</v>
      </c>
      <c r="K166" s="3">
        <f>COUNTIF('OOS Events'!$B:$B,A166)</f>
        <v>0</v>
      </c>
      <c r="L166" s="3">
        <v>2</v>
      </c>
      <c r="M166" s="3">
        <v>31</v>
      </c>
      <c r="N166" t="s">
        <v>47</v>
      </c>
    </row>
    <row r="167" spans="1:14" ht="15" customHeight="1">
      <c r="A167" t="s">
        <v>236</v>
      </c>
      <c r="B167" t="s">
        <v>85</v>
      </c>
      <c r="C167" s="8" t="s">
        <v>71</v>
      </c>
      <c r="D167" s="9" t="s">
        <v>72</v>
      </c>
      <c r="E167" t="s">
        <v>34</v>
      </c>
      <c r="F167" s="2">
        <v>45773</v>
      </c>
      <c r="G167" s="3">
        <v>8</v>
      </c>
      <c r="H167" s="2">
        <v>45790</v>
      </c>
      <c r="I167" s="4">
        <v>45792</v>
      </c>
      <c r="J167" s="3">
        <f>COUNTIFS('OOS Events'!$C:$C,B167,'OOS Events'!$D:$D,C167,'OOS Events'!$E:$E,"&gt;="&amp;D167-90,'OOS Events'!$E:$E,"&lt;"&amp;D167)</f>
        <v>0</v>
      </c>
      <c r="K167" s="3">
        <f>COUNTIF('OOS Events'!$B:$B,A167)</f>
        <v>0</v>
      </c>
      <c r="L167" s="3">
        <v>1</v>
      </c>
      <c r="M167" s="3">
        <v>34</v>
      </c>
      <c r="N167" t="s">
        <v>21</v>
      </c>
    </row>
    <row r="168" spans="1:14" ht="15" customHeight="1">
      <c r="A168" t="s">
        <v>237</v>
      </c>
      <c r="B168" t="s">
        <v>238</v>
      </c>
      <c r="C168" s="8" t="s">
        <v>239</v>
      </c>
      <c r="D168" s="9" t="s">
        <v>240</v>
      </c>
      <c r="E168" t="s">
        <v>26</v>
      </c>
      <c r="F168" s="2">
        <v>45776</v>
      </c>
      <c r="G168" s="3">
        <v>28</v>
      </c>
      <c r="H168" s="2">
        <v>45799</v>
      </c>
      <c r="I168" s="4">
        <v>45801</v>
      </c>
      <c r="J168" s="3">
        <f>COUNTIFS('OOS Events'!$C:$C,B168,'OOS Events'!$D:$D,C168,'OOS Events'!$E:$E,"&gt;="&amp;D168-90,'OOS Events'!$E:$E,"&lt;"&amp;D168)</f>
        <v>0</v>
      </c>
      <c r="K168" s="3">
        <f>COUNTIF('OOS Events'!$B:$B,A168)</f>
        <v>0</v>
      </c>
      <c r="L168" s="3">
        <v>1</v>
      </c>
      <c r="M168" s="3">
        <v>36</v>
      </c>
      <c r="N168" t="s">
        <v>40</v>
      </c>
    </row>
    <row r="169" spans="1:14" ht="15" customHeight="1">
      <c r="A169" t="s">
        <v>241</v>
      </c>
      <c r="B169" t="s">
        <v>89</v>
      </c>
      <c r="C169" s="8" t="s">
        <v>24</v>
      </c>
      <c r="D169" s="9" t="s">
        <v>25</v>
      </c>
      <c r="E169" t="s">
        <v>43</v>
      </c>
      <c r="F169" s="2">
        <v>45776</v>
      </c>
      <c r="G169" s="3">
        <v>25</v>
      </c>
      <c r="H169" s="2">
        <v>45812</v>
      </c>
      <c r="I169" s="2">
        <v>45812</v>
      </c>
      <c r="J169" s="3">
        <f>COUNTIFS('OOS Events'!$C:$C,B169,'OOS Events'!$D:$D,C169,'OOS Events'!$E:$E,"&gt;="&amp;D169-90,'OOS Events'!$E:$E,"&lt;"&amp;D169)</f>
        <v>0</v>
      </c>
      <c r="K169" s="3">
        <f>COUNTIF('OOS Events'!$B:$B,A169)</f>
        <v>1</v>
      </c>
      <c r="L169" s="3">
        <v>1</v>
      </c>
      <c r="M169" s="3">
        <v>40</v>
      </c>
      <c r="N169" t="s">
        <v>35</v>
      </c>
    </row>
    <row r="170" spans="1:14" ht="15" customHeight="1">
      <c r="A170" t="s">
        <v>242</v>
      </c>
      <c r="B170" t="s">
        <v>91</v>
      </c>
      <c r="C170" s="8" t="s">
        <v>24</v>
      </c>
      <c r="D170" s="9" t="s">
        <v>25</v>
      </c>
      <c r="E170" t="s">
        <v>60</v>
      </c>
      <c r="F170" s="2">
        <v>45777</v>
      </c>
      <c r="G170" s="3">
        <v>24</v>
      </c>
      <c r="H170" s="2">
        <v>45808</v>
      </c>
      <c r="I170" s="4">
        <v>45810</v>
      </c>
      <c r="J170" s="3">
        <f>COUNTIFS('OOS Events'!$C:$C,B170,'OOS Events'!$D:$D,C170,'OOS Events'!$E:$E,"&gt;="&amp;D170-90,'OOS Events'!$E:$E,"&lt;"&amp;D170)</f>
        <v>0</v>
      </c>
      <c r="K170" s="3">
        <f>COUNTIF('OOS Events'!$B:$B,A170)</f>
        <v>0</v>
      </c>
      <c r="L170" s="3">
        <v>1</v>
      </c>
      <c r="M170" s="3">
        <v>30</v>
      </c>
      <c r="N170" t="s">
        <v>47</v>
      </c>
    </row>
    <row r="171" spans="1:14" ht="15" customHeight="1">
      <c r="A171" t="s">
        <v>243</v>
      </c>
      <c r="B171" t="s">
        <v>17</v>
      </c>
      <c r="C171" s="8" t="s">
        <v>18</v>
      </c>
      <c r="D171" s="9" t="s">
        <v>19</v>
      </c>
      <c r="E171" t="s">
        <v>34</v>
      </c>
      <c r="F171" s="2">
        <v>45778</v>
      </c>
      <c r="G171" s="3">
        <v>16</v>
      </c>
      <c r="H171" s="2">
        <v>45791</v>
      </c>
      <c r="I171" s="2">
        <v>45791</v>
      </c>
      <c r="J171" s="3">
        <f>COUNTIFS('OOS Events'!$C:$C,B171,'OOS Events'!$D:$D,C171,'OOS Events'!$E:$E,"&gt;="&amp;D171-90,'OOS Events'!$E:$E,"&lt;"&amp;D171)</f>
        <v>0</v>
      </c>
      <c r="K171" s="3">
        <f>COUNTIF('OOS Events'!$B:$B,A171)</f>
        <v>1</v>
      </c>
      <c r="L171" s="3">
        <v>0</v>
      </c>
      <c r="M171" s="3">
        <v>27</v>
      </c>
      <c r="N171" t="s">
        <v>21</v>
      </c>
    </row>
    <row r="172" spans="1:14" ht="15" customHeight="1">
      <c r="A172" t="s">
        <v>244</v>
      </c>
      <c r="B172" t="s">
        <v>29</v>
      </c>
      <c r="C172" s="8" t="s">
        <v>24</v>
      </c>
      <c r="D172" s="9" t="s">
        <v>25</v>
      </c>
      <c r="E172" t="s">
        <v>60</v>
      </c>
      <c r="F172" s="2">
        <v>45780</v>
      </c>
      <c r="G172" s="3">
        <v>23</v>
      </c>
      <c r="H172" s="2">
        <v>45798</v>
      </c>
      <c r="I172" s="2">
        <v>45798</v>
      </c>
      <c r="J172" s="3">
        <f>COUNTIFS('OOS Events'!$C:$C,B172,'OOS Events'!$D:$D,C172,'OOS Events'!$E:$E,"&gt;="&amp;D172-90,'OOS Events'!$E:$E,"&lt;"&amp;D172)</f>
        <v>0</v>
      </c>
      <c r="K172" s="3">
        <f>COUNTIF('OOS Events'!$B:$B,A172)</f>
        <v>0</v>
      </c>
      <c r="L172" s="3">
        <v>2</v>
      </c>
      <c r="M172" s="3">
        <v>36</v>
      </c>
      <c r="N172" t="s">
        <v>21</v>
      </c>
    </row>
    <row r="173" spans="1:14" ht="15" customHeight="1">
      <c r="A173" t="s">
        <v>245</v>
      </c>
      <c r="B173" t="s">
        <v>32</v>
      </c>
      <c r="C173" s="8" t="s">
        <v>33</v>
      </c>
      <c r="D173" s="9" t="s">
        <v>19</v>
      </c>
      <c r="E173" t="s">
        <v>34</v>
      </c>
      <c r="F173" s="2">
        <v>45781</v>
      </c>
      <c r="G173" s="3">
        <v>11</v>
      </c>
      <c r="H173" s="2">
        <v>45812</v>
      </c>
      <c r="I173" s="2">
        <v>45812</v>
      </c>
      <c r="J173" s="3">
        <f>COUNTIFS('OOS Events'!$C:$C,B173,'OOS Events'!$D:$D,C173,'OOS Events'!$E:$E,"&gt;="&amp;D173-90,'OOS Events'!$E:$E,"&lt;"&amp;D173)</f>
        <v>0</v>
      </c>
      <c r="K173" s="3">
        <f>COUNTIF('OOS Events'!$B:$B,A173)</f>
        <v>1</v>
      </c>
      <c r="L173" s="3">
        <v>1</v>
      </c>
      <c r="M173" s="3">
        <v>38</v>
      </c>
      <c r="N173" t="s">
        <v>35</v>
      </c>
    </row>
    <row r="174" spans="1:14" ht="15" customHeight="1">
      <c r="A174" t="s">
        <v>246</v>
      </c>
      <c r="B174" t="s">
        <v>97</v>
      </c>
      <c r="C174" s="8" t="s">
        <v>18</v>
      </c>
      <c r="D174" s="9" t="s">
        <v>19</v>
      </c>
      <c r="E174" t="s">
        <v>26</v>
      </c>
      <c r="F174" s="2">
        <v>45782</v>
      </c>
      <c r="G174" s="3">
        <v>25</v>
      </c>
      <c r="H174" s="2">
        <v>45810</v>
      </c>
      <c r="I174" s="4">
        <v>45811</v>
      </c>
      <c r="J174" s="3">
        <f>COUNTIFS('OOS Events'!$C:$C,B174,'OOS Events'!$D:$D,C174,'OOS Events'!$E:$E,"&gt;="&amp;D174-90,'OOS Events'!$E:$E,"&lt;"&amp;D174)</f>
        <v>0</v>
      </c>
      <c r="K174" s="3">
        <f>COUNTIF('OOS Events'!$B:$B,A174)</f>
        <v>1</v>
      </c>
      <c r="L174" s="3">
        <v>1</v>
      </c>
      <c r="M174" s="3">
        <v>29</v>
      </c>
      <c r="N174" t="s">
        <v>47</v>
      </c>
    </row>
    <row r="175" spans="1:14" ht="15" customHeight="1">
      <c r="A175" t="s">
        <v>247</v>
      </c>
      <c r="B175" t="s">
        <v>46</v>
      </c>
      <c r="C175" s="8" t="s">
        <v>24</v>
      </c>
      <c r="D175" s="9" t="s">
        <v>25</v>
      </c>
      <c r="E175" t="s">
        <v>20</v>
      </c>
      <c r="F175" s="2">
        <v>45784</v>
      </c>
      <c r="G175" s="3">
        <v>18</v>
      </c>
      <c r="H175" s="2">
        <v>45809</v>
      </c>
      <c r="I175" s="4">
        <v>45811</v>
      </c>
      <c r="J175" s="3">
        <f>COUNTIFS('OOS Events'!$C:$C,B175,'OOS Events'!$D:$D,C175,'OOS Events'!$E:$E,"&gt;="&amp;D175-90,'OOS Events'!$E:$E,"&lt;"&amp;D175)</f>
        <v>0</v>
      </c>
      <c r="K175" s="3">
        <f>COUNTIF('OOS Events'!$B:$B,A175)</f>
        <v>1</v>
      </c>
      <c r="L175" s="3">
        <v>0</v>
      </c>
      <c r="M175" s="3">
        <v>20</v>
      </c>
      <c r="N175" t="s">
        <v>47</v>
      </c>
    </row>
    <row r="176" spans="1:14" ht="15" customHeight="1">
      <c r="A176" t="s">
        <v>248</v>
      </c>
      <c r="B176" t="s">
        <v>49</v>
      </c>
      <c r="C176" s="8" t="s">
        <v>33</v>
      </c>
      <c r="D176" s="9" t="s">
        <v>19</v>
      </c>
      <c r="E176" t="s">
        <v>30</v>
      </c>
      <c r="F176" s="2">
        <v>45785</v>
      </c>
      <c r="G176" s="3">
        <v>8</v>
      </c>
      <c r="H176" s="2">
        <v>45803</v>
      </c>
      <c r="I176" s="4">
        <v>45805</v>
      </c>
      <c r="J176" s="3">
        <f>COUNTIFS('OOS Events'!$C:$C,B176,'OOS Events'!$D:$D,C176,'OOS Events'!$E:$E,"&gt;="&amp;D176-90,'OOS Events'!$E:$E,"&lt;"&amp;D176)</f>
        <v>0</v>
      </c>
      <c r="K176" s="3">
        <f>COUNTIF('OOS Events'!$B:$B,A176)</f>
        <v>0</v>
      </c>
      <c r="L176" s="3">
        <v>1</v>
      </c>
      <c r="M176" s="3">
        <v>12</v>
      </c>
      <c r="N176" t="s">
        <v>21</v>
      </c>
    </row>
    <row r="177" spans="1:14" ht="15" customHeight="1">
      <c r="A177" t="s">
        <v>249</v>
      </c>
      <c r="B177" t="s">
        <v>130</v>
      </c>
      <c r="C177" s="8" t="s">
        <v>71</v>
      </c>
      <c r="D177" s="9" t="s">
        <v>72</v>
      </c>
      <c r="E177" t="s">
        <v>20</v>
      </c>
      <c r="F177" s="2">
        <v>45786</v>
      </c>
      <c r="G177" s="3">
        <v>21</v>
      </c>
      <c r="H177" s="2">
        <v>45815</v>
      </c>
      <c r="I177" s="4">
        <v>45820</v>
      </c>
      <c r="J177" s="3">
        <f>COUNTIFS('OOS Events'!$C:$C,B177,'OOS Events'!$D:$D,C177,'OOS Events'!$E:$E,"&gt;="&amp;D177-90,'OOS Events'!$E:$E,"&lt;"&amp;D177)</f>
        <v>0</v>
      </c>
      <c r="K177" s="3">
        <f>COUNTIF('OOS Events'!$B:$B,A177)</f>
        <v>2</v>
      </c>
      <c r="L177" s="3">
        <v>0</v>
      </c>
      <c r="M177" s="3">
        <v>46</v>
      </c>
      <c r="N177" t="s">
        <v>35</v>
      </c>
    </row>
    <row r="178" spans="1:14" ht="15" customHeight="1">
      <c r="A178" t="s">
        <v>250</v>
      </c>
      <c r="B178" t="s">
        <v>55</v>
      </c>
      <c r="C178" s="8" t="s">
        <v>33</v>
      </c>
      <c r="D178" s="9" t="s">
        <v>19</v>
      </c>
      <c r="E178" t="s">
        <v>30</v>
      </c>
      <c r="F178" s="2">
        <v>45788</v>
      </c>
      <c r="G178" s="3">
        <v>13</v>
      </c>
      <c r="H178" s="2">
        <v>45821</v>
      </c>
      <c r="I178" s="4">
        <v>45822</v>
      </c>
      <c r="J178" s="3">
        <f>COUNTIFS('OOS Events'!$C:$C,B178,'OOS Events'!$D:$D,C178,'OOS Events'!$E:$E,"&gt;="&amp;D178-90,'OOS Events'!$E:$E,"&lt;"&amp;D178)</f>
        <v>0</v>
      </c>
      <c r="K178" s="3">
        <f>COUNTIF('OOS Events'!$B:$B,A178)</f>
        <v>0</v>
      </c>
      <c r="L178" s="3">
        <v>0</v>
      </c>
      <c r="M178" s="3">
        <v>45</v>
      </c>
      <c r="N178" t="s">
        <v>35</v>
      </c>
    </row>
    <row r="179" spans="1:14" ht="15" customHeight="1">
      <c r="A179" t="s">
        <v>251</v>
      </c>
      <c r="B179" t="s">
        <v>57</v>
      </c>
      <c r="C179" s="8" t="s">
        <v>24</v>
      </c>
      <c r="D179" s="9" t="s">
        <v>25</v>
      </c>
      <c r="E179" t="s">
        <v>20</v>
      </c>
      <c r="F179" s="2">
        <v>45789</v>
      </c>
      <c r="G179" s="3">
        <v>23</v>
      </c>
      <c r="H179" s="2">
        <v>45821</v>
      </c>
      <c r="I179" s="2">
        <v>45819</v>
      </c>
      <c r="J179" s="3">
        <f>COUNTIFS('OOS Events'!$C:$C,B179,'OOS Events'!$D:$D,C179,'OOS Events'!$E:$E,"&gt;="&amp;D179-90,'OOS Events'!$E:$E,"&lt;"&amp;D179)</f>
        <v>0</v>
      </c>
      <c r="K179" s="3">
        <f>COUNTIF('OOS Events'!$B:$B,A179)</f>
        <v>0</v>
      </c>
      <c r="L179" s="3">
        <v>2</v>
      </c>
      <c r="M179" s="3">
        <v>14</v>
      </c>
      <c r="N179" t="s">
        <v>47</v>
      </c>
    </row>
    <row r="180" spans="1:14" ht="15" customHeight="1">
      <c r="A180" t="s">
        <v>252</v>
      </c>
      <c r="B180" t="s">
        <v>163</v>
      </c>
      <c r="C180" s="8" t="s">
        <v>71</v>
      </c>
      <c r="D180" s="9" t="s">
        <v>72</v>
      </c>
      <c r="E180" t="s">
        <v>26</v>
      </c>
      <c r="F180" s="2">
        <v>45790</v>
      </c>
      <c r="G180" s="3">
        <v>26</v>
      </c>
      <c r="H180" s="2">
        <v>45806</v>
      </c>
      <c r="I180" s="2">
        <v>45806</v>
      </c>
      <c r="J180" s="3">
        <f>COUNTIFS('OOS Events'!$C:$C,B180,'OOS Events'!$D:$D,C180,'OOS Events'!$E:$E,"&gt;="&amp;D180-90,'OOS Events'!$E:$E,"&lt;"&amp;D180)</f>
        <v>0</v>
      </c>
      <c r="K180" s="3">
        <f>COUNTIF('OOS Events'!$B:$B,A180)</f>
        <v>1</v>
      </c>
      <c r="L180" s="3">
        <v>2</v>
      </c>
      <c r="M180" s="3">
        <v>15</v>
      </c>
      <c r="N180" t="s">
        <v>21</v>
      </c>
    </row>
    <row r="181" spans="1:14" ht="15" customHeight="1">
      <c r="A181" t="s">
        <v>253</v>
      </c>
      <c r="B181" t="s">
        <v>64</v>
      </c>
      <c r="C181" s="8" t="s">
        <v>24</v>
      </c>
      <c r="D181" s="9" t="s">
        <v>25</v>
      </c>
      <c r="E181" t="s">
        <v>20</v>
      </c>
      <c r="F181" s="2">
        <v>45792</v>
      </c>
      <c r="G181" s="3">
        <v>20</v>
      </c>
      <c r="H181" s="2">
        <v>45808</v>
      </c>
      <c r="I181" s="4">
        <v>45811</v>
      </c>
      <c r="J181" s="3">
        <f>COUNTIFS('OOS Events'!$C:$C,B181,'OOS Events'!$D:$D,C181,'OOS Events'!$E:$E,"&gt;="&amp;D181-90,'OOS Events'!$E:$E,"&lt;"&amp;D181)</f>
        <v>0</v>
      </c>
      <c r="K181" s="3">
        <f>COUNTIF('OOS Events'!$B:$B,A181)</f>
        <v>2</v>
      </c>
      <c r="L181" s="3">
        <v>1</v>
      </c>
      <c r="M181" s="3">
        <v>8</v>
      </c>
      <c r="N181" t="s">
        <v>21</v>
      </c>
    </row>
    <row r="182" spans="1:14" ht="15" customHeight="1">
      <c r="A182" t="s">
        <v>254</v>
      </c>
      <c r="B182" t="s">
        <v>109</v>
      </c>
      <c r="C182" s="8" t="s">
        <v>24</v>
      </c>
      <c r="D182" s="9" t="s">
        <v>25</v>
      </c>
      <c r="E182" t="s">
        <v>60</v>
      </c>
      <c r="F182" s="2">
        <v>45793</v>
      </c>
      <c r="G182" s="3">
        <v>21</v>
      </c>
      <c r="H182" s="2">
        <v>45823</v>
      </c>
      <c r="I182" s="4">
        <v>45825</v>
      </c>
      <c r="J182" s="3">
        <f>COUNTIFS('OOS Events'!$C:$C,B182,'OOS Events'!$D:$D,C182,'OOS Events'!$E:$E,"&gt;="&amp;D182-90,'OOS Events'!$E:$E,"&lt;"&amp;D182)</f>
        <v>0</v>
      </c>
      <c r="K182" s="3">
        <f>COUNTIF('OOS Events'!$B:$B,A182)</f>
        <v>0</v>
      </c>
      <c r="L182" s="3">
        <v>1</v>
      </c>
      <c r="M182" s="3">
        <v>37</v>
      </c>
      <c r="N182" t="s">
        <v>35</v>
      </c>
    </row>
    <row r="183" spans="1:14" ht="15" customHeight="1">
      <c r="A183" t="s">
        <v>255</v>
      </c>
      <c r="B183" t="s">
        <v>196</v>
      </c>
      <c r="C183" s="8" t="s">
        <v>71</v>
      </c>
      <c r="D183" s="9" t="s">
        <v>72</v>
      </c>
      <c r="E183" t="s">
        <v>43</v>
      </c>
      <c r="F183" s="2">
        <v>45794</v>
      </c>
      <c r="G183" s="3">
        <v>16</v>
      </c>
      <c r="H183" s="2">
        <v>45821</v>
      </c>
      <c r="I183" s="4">
        <v>45833</v>
      </c>
      <c r="J183" s="3">
        <f>COUNTIFS('OOS Events'!$C:$C,B183,'OOS Events'!$D:$D,C183,'OOS Events'!$E:$E,"&gt;="&amp;D183-90,'OOS Events'!$E:$E,"&lt;"&amp;D183)</f>
        <v>0</v>
      </c>
      <c r="K183" s="3">
        <f>COUNTIF('OOS Events'!$B:$B,A183)</f>
        <v>0</v>
      </c>
      <c r="L183" s="3">
        <v>3</v>
      </c>
      <c r="M183" s="3">
        <v>11</v>
      </c>
      <c r="N183" t="s">
        <v>47</v>
      </c>
    </row>
    <row r="184" spans="1:14" ht="15" customHeight="1">
      <c r="A184" t="s">
        <v>256</v>
      </c>
      <c r="B184" t="s">
        <v>68</v>
      </c>
      <c r="C184" s="8" t="s">
        <v>24</v>
      </c>
      <c r="D184" s="9" t="s">
        <v>25</v>
      </c>
      <c r="E184" t="s">
        <v>30</v>
      </c>
      <c r="F184" s="2">
        <v>45794</v>
      </c>
      <c r="G184" s="3">
        <v>15</v>
      </c>
      <c r="H184" s="2">
        <v>45821</v>
      </c>
      <c r="I184" s="4">
        <v>45826</v>
      </c>
      <c r="J184" s="3">
        <f>COUNTIFS('OOS Events'!$C:$C,B184,'OOS Events'!$D:$D,C184,'OOS Events'!$E:$E,"&gt;="&amp;D184-90,'OOS Events'!$E:$E,"&lt;"&amp;D184)</f>
        <v>0</v>
      </c>
      <c r="K184" s="3">
        <f>COUNTIF('OOS Events'!$B:$B,A184)</f>
        <v>2</v>
      </c>
      <c r="L184" s="3">
        <v>1</v>
      </c>
      <c r="M184" s="3">
        <v>28</v>
      </c>
      <c r="N184" t="s">
        <v>44</v>
      </c>
    </row>
    <row r="185" spans="1:14" ht="15" customHeight="1">
      <c r="A185" t="s">
        <v>257</v>
      </c>
      <c r="B185" t="s">
        <v>70</v>
      </c>
      <c r="C185" s="8" t="s">
        <v>71</v>
      </c>
      <c r="D185" s="9" t="s">
        <v>72</v>
      </c>
      <c r="E185" t="s">
        <v>26</v>
      </c>
      <c r="F185" s="2">
        <v>45796</v>
      </c>
      <c r="G185" s="3">
        <v>17</v>
      </c>
      <c r="H185" s="2">
        <v>45829</v>
      </c>
      <c r="I185" s="2">
        <v>45828</v>
      </c>
      <c r="J185" s="3">
        <f>COUNTIFS('OOS Events'!$C:$C,B185,'OOS Events'!$D:$D,C185,'OOS Events'!$E:$E,"&gt;="&amp;D185-90,'OOS Events'!$E:$E,"&lt;"&amp;D185)</f>
        <v>0</v>
      </c>
      <c r="K185" s="3">
        <f>COUNTIF('OOS Events'!$B:$B,A185)</f>
        <v>0</v>
      </c>
      <c r="L185" s="3">
        <v>0</v>
      </c>
      <c r="M185" s="3">
        <v>17</v>
      </c>
      <c r="N185" t="s">
        <v>47</v>
      </c>
    </row>
    <row r="186" spans="1:14" ht="15" customHeight="1">
      <c r="A186" t="s">
        <v>258</v>
      </c>
      <c r="B186" t="s">
        <v>142</v>
      </c>
      <c r="C186" s="8" t="s">
        <v>71</v>
      </c>
      <c r="D186" s="9" t="s">
        <v>72</v>
      </c>
      <c r="E186" t="s">
        <v>43</v>
      </c>
      <c r="F186" s="2">
        <v>45797</v>
      </c>
      <c r="G186" s="3">
        <v>16</v>
      </c>
      <c r="H186" s="2">
        <v>45814</v>
      </c>
      <c r="I186" s="4">
        <v>45822</v>
      </c>
      <c r="J186" s="3">
        <f>COUNTIFS('OOS Events'!$C:$C,B186,'OOS Events'!$D:$D,C186,'OOS Events'!$E:$E,"&gt;="&amp;D186-90,'OOS Events'!$E:$E,"&lt;"&amp;D186)</f>
        <v>0</v>
      </c>
      <c r="K186" s="3">
        <f>COUNTIF('OOS Events'!$B:$B,A186)</f>
        <v>0</v>
      </c>
      <c r="L186" s="3">
        <v>2</v>
      </c>
      <c r="M186" s="3">
        <v>8</v>
      </c>
      <c r="N186" t="s">
        <v>21</v>
      </c>
    </row>
    <row r="187" spans="1:14" ht="15" customHeight="1">
      <c r="A187" t="s">
        <v>259</v>
      </c>
      <c r="B187" t="s">
        <v>229</v>
      </c>
      <c r="C187" s="8" t="s">
        <v>33</v>
      </c>
      <c r="D187" s="9" t="s">
        <v>19</v>
      </c>
      <c r="E187" t="s">
        <v>60</v>
      </c>
      <c r="F187" s="2">
        <v>45798</v>
      </c>
      <c r="G187" s="3">
        <v>22</v>
      </c>
      <c r="H187" s="2">
        <v>45833</v>
      </c>
      <c r="I187" s="2">
        <v>45833</v>
      </c>
      <c r="J187" s="3">
        <f>COUNTIFS('OOS Events'!$C:$C,B187,'OOS Events'!$D:$D,C187,'OOS Events'!$E:$E,"&gt;="&amp;D187-90,'OOS Events'!$E:$E,"&lt;"&amp;D187)</f>
        <v>0</v>
      </c>
      <c r="K187" s="3">
        <f>COUNTIF('OOS Events'!$B:$B,A187)</f>
        <v>0</v>
      </c>
      <c r="L187" s="3">
        <v>3</v>
      </c>
      <c r="M187" s="3">
        <v>43</v>
      </c>
      <c r="N187" t="s">
        <v>35</v>
      </c>
    </row>
    <row r="188" spans="1:14" ht="15" customHeight="1">
      <c r="A188" t="s">
        <v>260</v>
      </c>
      <c r="B188" t="s">
        <v>77</v>
      </c>
      <c r="C188" s="8" t="s">
        <v>33</v>
      </c>
      <c r="D188" s="9" t="s">
        <v>19</v>
      </c>
      <c r="E188" t="s">
        <v>20</v>
      </c>
      <c r="F188" s="2">
        <v>45798</v>
      </c>
      <c r="G188" s="3">
        <v>23</v>
      </c>
      <c r="H188" s="2">
        <v>45818</v>
      </c>
      <c r="I188" s="4">
        <v>45821</v>
      </c>
      <c r="J188" s="3">
        <f>COUNTIFS('OOS Events'!$C:$C,B188,'OOS Events'!$D:$D,C188,'OOS Events'!$E:$E,"&gt;="&amp;D188-90,'OOS Events'!$E:$E,"&lt;"&amp;D188)</f>
        <v>0</v>
      </c>
      <c r="K188" s="3">
        <f>COUNTIF('OOS Events'!$B:$B,A188)</f>
        <v>0</v>
      </c>
      <c r="L188" s="3">
        <v>2</v>
      </c>
      <c r="M188" s="3">
        <v>22</v>
      </c>
      <c r="N188" t="s">
        <v>40</v>
      </c>
    </row>
    <row r="189" spans="1:14" ht="15" customHeight="1">
      <c r="A189" t="s">
        <v>261</v>
      </c>
      <c r="B189" t="s">
        <v>174</v>
      </c>
      <c r="C189" s="8" t="s">
        <v>71</v>
      </c>
      <c r="D189" s="9" t="s">
        <v>72</v>
      </c>
      <c r="E189" t="s">
        <v>60</v>
      </c>
      <c r="F189" s="2">
        <v>45801</v>
      </c>
      <c r="G189" s="3">
        <v>21</v>
      </c>
      <c r="H189" s="2">
        <v>45828</v>
      </c>
      <c r="I189" s="2">
        <v>45827</v>
      </c>
      <c r="J189" s="3">
        <f>COUNTIFS('OOS Events'!$C:$C,B189,'OOS Events'!$D:$D,C189,'OOS Events'!$E:$E,"&gt;="&amp;D189-90,'OOS Events'!$E:$E,"&lt;"&amp;D189)</f>
        <v>0</v>
      </c>
      <c r="K189" s="3">
        <f>COUNTIF('OOS Events'!$B:$B,A189)</f>
        <v>1</v>
      </c>
      <c r="L189" s="3">
        <v>2</v>
      </c>
      <c r="M189" s="3">
        <v>32</v>
      </c>
      <c r="N189" t="s">
        <v>47</v>
      </c>
    </row>
    <row r="190" spans="1:14" ht="15" customHeight="1">
      <c r="A190" t="s">
        <v>262</v>
      </c>
      <c r="B190" t="s">
        <v>263</v>
      </c>
      <c r="C190" s="8" t="s">
        <v>33</v>
      </c>
      <c r="D190" s="9" t="s">
        <v>19</v>
      </c>
      <c r="E190" t="s">
        <v>20</v>
      </c>
      <c r="F190" s="2">
        <v>45802</v>
      </c>
      <c r="G190" s="3">
        <v>20</v>
      </c>
      <c r="H190" s="2">
        <v>45814</v>
      </c>
      <c r="I190" s="2">
        <v>45812</v>
      </c>
      <c r="J190" s="3">
        <f>COUNTIFS('OOS Events'!$C:$C,B190,'OOS Events'!$D:$D,C190,'OOS Events'!$E:$E,"&gt;="&amp;D190-90,'OOS Events'!$E:$E,"&lt;"&amp;D190)</f>
        <v>0</v>
      </c>
      <c r="K190" s="3">
        <f>COUNTIF('OOS Events'!$B:$B,A190)</f>
        <v>0</v>
      </c>
      <c r="L190" s="3">
        <v>3</v>
      </c>
      <c r="M190" s="3">
        <v>12</v>
      </c>
      <c r="N190" t="s">
        <v>21</v>
      </c>
    </row>
    <row r="191" spans="1:14" ht="15" customHeight="1">
      <c r="A191" t="s">
        <v>264</v>
      </c>
      <c r="B191" t="s">
        <v>81</v>
      </c>
      <c r="C191" s="8" t="s">
        <v>71</v>
      </c>
      <c r="D191" s="9" t="s">
        <v>72</v>
      </c>
      <c r="E191" t="s">
        <v>26</v>
      </c>
      <c r="F191" s="2">
        <v>45802</v>
      </c>
      <c r="G191" s="3">
        <v>20</v>
      </c>
      <c r="H191" s="2">
        <v>45840</v>
      </c>
      <c r="I191" s="4">
        <v>45841</v>
      </c>
      <c r="J191" s="3">
        <f>COUNTIFS('OOS Events'!$C:$C,B191,'OOS Events'!$D:$D,C191,'OOS Events'!$E:$E,"&gt;="&amp;D191-90,'OOS Events'!$E:$E,"&lt;"&amp;D191)</f>
        <v>0</v>
      </c>
      <c r="K191" s="3">
        <f>COUNTIF('OOS Events'!$B:$B,A191)</f>
        <v>0</v>
      </c>
      <c r="L191" s="3">
        <v>2</v>
      </c>
      <c r="M191" s="3">
        <v>28</v>
      </c>
      <c r="N191" t="s">
        <v>27</v>
      </c>
    </row>
    <row r="192" spans="1:14" ht="15" customHeight="1">
      <c r="A192" t="s">
        <v>265</v>
      </c>
      <c r="B192" t="s">
        <v>206</v>
      </c>
      <c r="C192" s="8" t="s">
        <v>71</v>
      </c>
      <c r="D192" s="9" t="s">
        <v>72</v>
      </c>
      <c r="E192" t="s">
        <v>34</v>
      </c>
      <c r="F192" s="2">
        <v>45805</v>
      </c>
      <c r="G192" s="3">
        <v>12</v>
      </c>
      <c r="H192" s="2">
        <v>45834</v>
      </c>
      <c r="I192" s="2">
        <v>45834</v>
      </c>
      <c r="J192" s="3">
        <f>COUNTIFS('OOS Events'!$C:$C,B192,'OOS Events'!$D:$D,C192,'OOS Events'!$E:$E,"&gt;="&amp;D192-90,'OOS Events'!$E:$E,"&lt;"&amp;D192)</f>
        <v>0</v>
      </c>
      <c r="K192" s="3">
        <f>COUNTIF('OOS Events'!$B:$B,A192)</f>
        <v>0</v>
      </c>
      <c r="L192" s="3">
        <v>0</v>
      </c>
      <c r="M192" s="3">
        <v>37</v>
      </c>
      <c r="N192" t="s">
        <v>35</v>
      </c>
    </row>
    <row r="193" spans="1:14" ht="15" customHeight="1">
      <c r="A193" t="s">
        <v>266</v>
      </c>
      <c r="B193" t="s">
        <v>83</v>
      </c>
      <c r="C193" s="8" t="s">
        <v>33</v>
      </c>
      <c r="D193" s="9" t="s">
        <v>19</v>
      </c>
      <c r="E193" t="s">
        <v>26</v>
      </c>
      <c r="F193" s="2">
        <v>45805</v>
      </c>
      <c r="G193" s="3">
        <v>22</v>
      </c>
      <c r="H193" s="2">
        <v>45830</v>
      </c>
      <c r="I193" s="2">
        <v>45828</v>
      </c>
      <c r="J193" s="3">
        <f>COUNTIFS('OOS Events'!$C:$C,B193,'OOS Events'!$D:$D,C193,'OOS Events'!$E:$E,"&gt;="&amp;D193-90,'OOS Events'!$E:$E,"&lt;"&amp;D193)</f>
        <v>0</v>
      </c>
      <c r="K193" s="3">
        <f>COUNTIF('OOS Events'!$B:$B,A193)</f>
        <v>0</v>
      </c>
      <c r="L193" s="3">
        <v>1</v>
      </c>
      <c r="M193" s="3">
        <v>9</v>
      </c>
      <c r="N193" t="s">
        <v>40</v>
      </c>
    </row>
    <row r="194" spans="1:14" ht="15" customHeight="1">
      <c r="A194" t="s">
        <v>267</v>
      </c>
      <c r="B194" t="s">
        <v>85</v>
      </c>
      <c r="C194" s="8" t="s">
        <v>71</v>
      </c>
      <c r="D194" s="9" t="s">
        <v>72</v>
      </c>
      <c r="E194" t="s">
        <v>43</v>
      </c>
      <c r="F194" s="2">
        <v>45806</v>
      </c>
      <c r="G194" s="3">
        <v>22</v>
      </c>
      <c r="H194" s="2">
        <v>45828</v>
      </c>
      <c r="I194" s="4">
        <v>45836</v>
      </c>
      <c r="J194" s="3">
        <f>COUNTIFS('OOS Events'!$C:$C,B194,'OOS Events'!$D:$D,C194,'OOS Events'!$E:$E,"&gt;="&amp;D194-90,'OOS Events'!$E:$E,"&lt;"&amp;D194)</f>
        <v>0</v>
      </c>
      <c r="K194" s="3">
        <f>COUNTIF('OOS Events'!$B:$B,A194)</f>
        <v>0</v>
      </c>
      <c r="L194" s="3">
        <v>1</v>
      </c>
      <c r="M194" s="3">
        <v>11</v>
      </c>
      <c r="N194" t="s">
        <v>44</v>
      </c>
    </row>
    <row r="195" spans="1:14" ht="15" customHeight="1">
      <c r="A195" t="s">
        <v>268</v>
      </c>
      <c r="B195" t="s">
        <v>238</v>
      </c>
      <c r="C195" s="8" t="s">
        <v>239</v>
      </c>
      <c r="D195" s="9" t="s">
        <v>240</v>
      </c>
      <c r="E195" t="s">
        <v>30</v>
      </c>
      <c r="F195" s="2">
        <v>45809</v>
      </c>
      <c r="G195" s="3">
        <v>11</v>
      </c>
      <c r="H195" s="2">
        <v>45823</v>
      </c>
      <c r="I195" s="2">
        <v>45823</v>
      </c>
      <c r="J195" s="3">
        <f>COUNTIFS('OOS Events'!$C:$C,B195,'OOS Events'!$D:$D,C195,'OOS Events'!$E:$E,"&gt;="&amp;D195-90,'OOS Events'!$E:$E,"&lt;"&amp;D195)</f>
        <v>0</v>
      </c>
      <c r="K195" s="3">
        <f>COUNTIF('OOS Events'!$B:$B,A195)</f>
        <v>0</v>
      </c>
      <c r="L195" s="3">
        <v>0</v>
      </c>
      <c r="M195" s="3">
        <v>23</v>
      </c>
      <c r="N195" t="s">
        <v>21</v>
      </c>
    </row>
    <row r="196" spans="1:14" ht="15" customHeight="1">
      <c r="A196" t="s">
        <v>269</v>
      </c>
      <c r="B196" t="s">
        <v>89</v>
      </c>
      <c r="C196" s="8" t="s">
        <v>24</v>
      </c>
      <c r="D196" s="9" t="s">
        <v>25</v>
      </c>
      <c r="E196" t="s">
        <v>43</v>
      </c>
      <c r="F196" s="2">
        <v>45809</v>
      </c>
      <c r="G196" s="3">
        <v>20</v>
      </c>
      <c r="H196" s="2">
        <v>45843</v>
      </c>
      <c r="I196" s="4">
        <v>45851</v>
      </c>
      <c r="J196" s="3">
        <f>COUNTIFS('OOS Events'!$C:$C,B196,'OOS Events'!$D:$D,C196,'OOS Events'!$E:$E,"&gt;="&amp;D196-90,'OOS Events'!$E:$E,"&lt;"&amp;D196)</f>
        <v>0</v>
      </c>
      <c r="K196" s="3">
        <f>COUNTIF('OOS Events'!$B:$B,A196)</f>
        <v>0</v>
      </c>
      <c r="L196" s="3">
        <v>1</v>
      </c>
      <c r="M196" s="3">
        <v>34</v>
      </c>
      <c r="N196" t="s">
        <v>27</v>
      </c>
    </row>
    <row r="197" spans="1:14" ht="15" customHeight="1">
      <c r="A197" t="s">
        <v>270</v>
      </c>
      <c r="B197" t="s">
        <v>91</v>
      </c>
      <c r="C197" s="8" t="s">
        <v>24</v>
      </c>
      <c r="D197" s="9" t="s">
        <v>25</v>
      </c>
      <c r="E197" t="s">
        <v>30</v>
      </c>
      <c r="F197" s="2">
        <v>45810</v>
      </c>
      <c r="G197" s="3">
        <v>16</v>
      </c>
      <c r="H197" s="2">
        <v>45832</v>
      </c>
      <c r="I197" s="2">
        <v>45832</v>
      </c>
      <c r="J197" s="3">
        <f>COUNTIFS('OOS Events'!$C:$C,B197,'OOS Events'!$D:$D,C197,'OOS Events'!$E:$E,"&gt;="&amp;D197-90,'OOS Events'!$E:$E,"&lt;"&amp;D197)</f>
        <v>0</v>
      </c>
      <c r="K197" s="3">
        <f>COUNTIF('OOS Events'!$B:$B,A197)</f>
        <v>0</v>
      </c>
      <c r="L197" s="3">
        <v>1</v>
      </c>
      <c r="M197" s="3">
        <v>11</v>
      </c>
      <c r="N197" t="s">
        <v>40</v>
      </c>
    </row>
    <row r="198" spans="1:14" ht="15" customHeight="1">
      <c r="A198" t="s">
        <v>271</v>
      </c>
      <c r="B198" t="s">
        <v>17</v>
      </c>
      <c r="C198" s="8" t="s">
        <v>18</v>
      </c>
      <c r="D198" s="9" t="s">
        <v>19</v>
      </c>
      <c r="E198" t="s">
        <v>34</v>
      </c>
      <c r="F198" s="2">
        <v>45811</v>
      </c>
      <c r="G198" s="3">
        <v>14</v>
      </c>
      <c r="H198" s="2">
        <v>45835</v>
      </c>
      <c r="I198" s="4">
        <v>45838</v>
      </c>
      <c r="J198" s="3">
        <f>COUNTIFS('OOS Events'!$C:$C,B198,'OOS Events'!$D:$D,C198,'OOS Events'!$E:$E,"&gt;="&amp;D198-90,'OOS Events'!$E:$E,"&lt;"&amp;D198)</f>
        <v>0</v>
      </c>
      <c r="K198" s="3">
        <f>COUNTIF('OOS Events'!$B:$B,A198)</f>
        <v>2</v>
      </c>
      <c r="L198" s="3">
        <v>0</v>
      </c>
      <c r="M198" s="3">
        <v>13</v>
      </c>
      <c r="N198" t="s">
        <v>44</v>
      </c>
    </row>
    <row r="199" spans="1:14" ht="15" customHeight="1">
      <c r="A199" t="s">
        <v>272</v>
      </c>
      <c r="B199" t="s">
        <v>273</v>
      </c>
      <c r="C199" s="8" t="s">
        <v>24</v>
      </c>
      <c r="D199" s="9" t="s">
        <v>25</v>
      </c>
      <c r="E199" t="s">
        <v>43</v>
      </c>
      <c r="F199" s="2">
        <v>45813</v>
      </c>
      <c r="G199" s="3">
        <v>27</v>
      </c>
      <c r="H199" s="2">
        <v>45846</v>
      </c>
      <c r="I199" s="4">
        <v>45848</v>
      </c>
      <c r="J199" s="3">
        <f>COUNTIFS('OOS Events'!$C:$C,B199,'OOS Events'!$D:$D,C199,'OOS Events'!$E:$E,"&gt;="&amp;D199-90,'OOS Events'!$E:$E,"&lt;"&amp;D199)</f>
        <v>0</v>
      </c>
      <c r="K199" s="3">
        <f>COUNTIF('OOS Events'!$B:$B,A199)</f>
        <v>2</v>
      </c>
      <c r="L199" s="3">
        <v>2</v>
      </c>
      <c r="M199" s="3">
        <v>16</v>
      </c>
      <c r="N199" t="s">
        <v>47</v>
      </c>
    </row>
    <row r="200" spans="1:14" ht="15" customHeight="1">
      <c r="A200" t="s">
        <v>274</v>
      </c>
      <c r="B200" t="s">
        <v>29</v>
      </c>
      <c r="C200" s="8" t="s">
        <v>24</v>
      </c>
      <c r="D200" s="9" t="s">
        <v>25</v>
      </c>
      <c r="E200" t="s">
        <v>60</v>
      </c>
      <c r="F200" s="2">
        <v>45813</v>
      </c>
      <c r="G200" s="3">
        <v>27</v>
      </c>
      <c r="H200" s="2">
        <v>45836</v>
      </c>
      <c r="I200" s="4">
        <v>45844</v>
      </c>
      <c r="J200" s="3">
        <f>COUNTIFS('OOS Events'!$C:$C,B200,'OOS Events'!$D:$D,C200,'OOS Events'!$E:$E,"&gt;="&amp;D200-90,'OOS Events'!$E:$E,"&lt;"&amp;D200)</f>
        <v>0</v>
      </c>
      <c r="K200" s="3">
        <f>COUNTIF('OOS Events'!$B:$B,A200)</f>
        <v>0</v>
      </c>
      <c r="L200" s="3">
        <v>3</v>
      </c>
      <c r="M200" s="3">
        <v>22</v>
      </c>
      <c r="N200" t="s">
        <v>44</v>
      </c>
    </row>
    <row r="201" spans="1:14" ht="15" customHeight="1">
      <c r="A201" t="s">
        <v>275</v>
      </c>
      <c r="B201" t="s">
        <v>32</v>
      </c>
      <c r="C201" s="8" t="s">
        <v>33</v>
      </c>
      <c r="D201" s="9" t="s">
        <v>19</v>
      </c>
      <c r="E201" t="s">
        <v>34</v>
      </c>
      <c r="F201" s="2">
        <v>45814</v>
      </c>
      <c r="G201" s="3">
        <v>8</v>
      </c>
      <c r="H201" s="2">
        <v>45854</v>
      </c>
      <c r="I201" s="4">
        <v>45859</v>
      </c>
      <c r="J201" s="3">
        <f>COUNTIFS('OOS Events'!$C:$C,B201,'OOS Events'!$D:$D,C201,'OOS Events'!$E:$E,"&gt;="&amp;D201-90,'OOS Events'!$E:$E,"&lt;"&amp;D201)</f>
        <v>0</v>
      </c>
      <c r="K201" s="3">
        <f>COUNTIF('OOS Events'!$B:$B,A201)</f>
        <v>1</v>
      </c>
      <c r="L201" s="3">
        <v>0</v>
      </c>
      <c r="M201" s="3">
        <v>40</v>
      </c>
      <c r="N201" t="s">
        <v>27</v>
      </c>
    </row>
    <row r="202" spans="1:14" ht="15" customHeight="1">
      <c r="A202" t="s">
        <v>276</v>
      </c>
      <c r="B202" t="s">
        <v>97</v>
      </c>
      <c r="C202" s="8" t="s">
        <v>18</v>
      </c>
      <c r="D202" s="9" t="s">
        <v>19</v>
      </c>
      <c r="E202" t="s">
        <v>30</v>
      </c>
      <c r="F202" s="2">
        <v>45815</v>
      </c>
      <c r="G202" s="3">
        <v>12</v>
      </c>
      <c r="H202" s="2">
        <v>45836</v>
      </c>
      <c r="I202" s="4">
        <v>45838</v>
      </c>
      <c r="J202" s="3">
        <f>COUNTIFS('OOS Events'!$C:$C,B202,'OOS Events'!$D:$D,C202,'OOS Events'!$E:$E,"&gt;="&amp;D202-90,'OOS Events'!$E:$E,"&lt;"&amp;D202)</f>
        <v>0</v>
      </c>
      <c r="K202" s="3">
        <f>COUNTIF('OOS Events'!$B:$B,A202)</f>
        <v>2</v>
      </c>
      <c r="L202" s="3">
        <v>1</v>
      </c>
      <c r="M202" s="3">
        <v>32</v>
      </c>
      <c r="N202" t="s">
        <v>40</v>
      </c>
    </row>
    <row r="203" spans="1:14" ht="15" customHeight="1">
      <c r="A203" t="s">
        <v>277</v>
      </c>
      <c r="B203" t="s">
        <v>46</v>
      </c>
      <c r="C203" s="8" t="s">
        <v>24</v>
      </c>
      <c r="D203" s="9" t="s">
        <v>25</v>
      </c>
      <c r="E203" t="s">
        <v>34</v>
      </c>
      <c r="F203" s="2">
        <v>45817</v>
      </c>
      <c r="G203" s="3">
        <v>18</v>
      </c>
      <c r="H203" s="2">
        <v>45838</v>
      </c>
      <c r="I203" s="2">
        <v>45837</v>
      </c>
      <c r="J203" s="3">
        <f>COUNTIFS('OOS Events'!$C:$C,B203,'OOS Events'!$D:$D,C203,'OOS Events'!$E:$E,"&gt;="&amp;D203-90,'OOS Events'!$E:$E,"&lt;"&amp;D203)</f>
        <v>0</v>
      </c>
      <c r="K203" s="3">
        <f>COUNTIF('OOS Events'!$B:$B,A203)</f>
        <v>0</v>
      </c>
      <c r="L203" s="3">
        <v>0</v>
      </c>
      <c r="M203" s="3">
        <v>9</v>
      </c>
      <c r="N203" t="s">
        <v>40</v>
      </c>
    </row>
    <row r="204" spans="1:14" ht="15" customHeight="1">
      <c r="A204" t="s">
        <v>278</v>
      </c>
      <c r="B204" t="s">
        <v>49</v>
      </c>
      <c r="C204" s="8" t="s">
        <v>33</v>
      </c>
      <c r="D204" s="9" t="s">
        <v>19</v>
      </c>
      <c r="E204" t="s">
        <v>30</v>
      </c>
      <c r="F204" s="2">
        <v>45818</v>
      </c>
      <c r="G204" s="3">
        <v>20</v>
      </c>
      <c r="H204" s="2">
        <v>45844</v>
      </c>
      <c r="I204" s="4">
        <v>45849</v>
      </c>
      <c r="J204" s="3">
        <f>COUNTIFS('OOS Events'!$C:$C,B204,'OOS Events'!$D:$D,C204,'OOS Events'!$E:$E,"&gt;="&amp;D204-90,'OOS Events'!$E:$E,"&lt;"&amp;D204)</f>
        <v>0</v>
      </c>
      <c r="K204" s="3">
        <f>COUNTIF('OOS Events'!$B:$B,A204)</f>
        <v>1</v>
      </c>
      <c r="L204" s="3">
        <v>1</v>
      </c>
      <c r="M204" s="3">
        <v>35</v>
      </c>
      <c r="N204" t="s">
        <v>44</v>
      </c>
    </row>
    <row r="205" spans="1:14" ht="15" customHeight="1">
      <c r="A205" t="s">
        <v>279</v>
      </c>
      <c r="B205" t="s">
        <v>130</v>
      </c>
      <c r="C205" s="8" t="s">
        <v>71</v>
      </c>
      <c r="D205" s="9" t="s">
        <v>72</v>
      </c>
      <c r="E205" t="s">
        <v>43</v>
      </c>
      <c r="F205" s="2">
        <v>45819</v>
      </c>
      <c r="G205" s="3">
        <v>18</v>
      </c>
      <c r="H205" s="2">
        <v>45857</v>
      </c>
      <c r="I205" s="4">
        <v>45858</v>
      </c>
      <c r="J205" s="3">
        <f>COUNTIFS('OOS Events'!$C:$C,B205,'OOS Events'!$D:$D,C205,'OOS Events'!$E:$E,"&gt;="&amp;D205-90,'OOS Events'!$E:$E,"&lt;"&amp;D205)</f>
        <v>0</v>
      </c>
      <c r="K205" s="3">
        <f>COUNTIF('OOS Events'!$B:$B,A205)</f>
        <v>1</v>
      </c>
      <c r="L205" s="3">
        <v>0</v>
      </c>
      <c r="M205" s="3">
        <v>30</v>
      </c>
      <c r="N205" t="s">
        <v>27</v>
      </c>
    </row>
    <row r="206" spans="1:14" ht="15" customHeight="1">
      <c r="A206" t="s">
        <v>280</v>
      </c>
      <c r="B206" t="s">
        <v>55</v>
      </c>
      <c r="C206" s="8" t="s">
        <v>33</v>
      </c>
      <c r="D206" s="9" t="s">
        <v>19</v>
      </c>
      <c r="E206" t="s">
        <v>26</v>
      </c>
      <c r="F206" s="2">
        <v>45821</v>
      </c>
      <c r="G206" s="3">
        <v>16</v>
      </c>
      <c r="H206" s="2">
        <v>45860</v>
      </c>
      <c r="I206" s="4">
        <v>45865</v>
      </c>
      <c r="J206" s="3">
        <f>COUNTIFS('OOS Events'!$C:$C,B206,'OOS Events'!$D:$D,C206,'OOS Events'!$E:$E,"&gt;="&amp;D206-90,'OOS Events'!$E:$E,"&lt;"&amp;D206)</f>
        <v>0</v>
      </c>
      <c r="K206" s="3">
        <f>COUNTIF('OOS Events'!$B:$B,A206)</f>
        <v>0</v>
      </c>
      <c r="L206" s="3">
        <v>0</v>
      </c>
      <c r="M206" s="3">
        <v>25</v>
      </c>
      <c r="N206" t="s">
        <v>27</v>
      </c>
    </row>
    <row r="207" spans="1:14" ht="15" customHeight="1">
      <c r="A207" t="s">
        <v>281</v>
      </c>
      <c r="B207" t="s">
        <v>57</v>
      </c>
      <c r="C207" s="8" t="s">
        <v>24</v>
      </c>
      <c r="D207" s="9" t="s">
        <v>25</v>
      </c>
      <c r="E207" t="s">
        <v>20</v>
      </c>
      <c r="F207" s="2">
        <v>45822</v>
      </c>
      <c r="G207" s="3">
        <v>15</v>
      </c>
      <c r="H207" s="2">
        <v>45842</v>
      </c>
      <c r="I207" s="2">
        <v>45842</v>
      </c>
      <c r="J207" s="3">
        <f>COUNTIFS('OOS Events'!$C:$C,B207,'OOS Events'!$D:$D,C207,'OOS Events'!$E:$E,"&gt;="&amp;D207-90,'OOS Events'!$E:$E,"&lt;"&amp;D207)</f>
        <v>0</v>
      </c>
      <c r="K207" s="3">
        <f>COUNTIF('OOS Events'!$B:$B,A207)</f>
        <v>0</v>
      </c>
      <c r="L207" s="3">
        <v>1</v>
      </c>
      <c r="M207" s="3">
        <v>28</v>
      </c>
      <c r="N207" t="s">
        <v>40</v>
      </c>
    </row>
    <row r="208" spans="1:14" ht="15" customHeight="1">
      <c r="A208" t="s">
        <v>282</v>
      </c>
      <c r="B208" t="s">
        <v>163</v>
      </c>
      <c r="C208" s="8" t="s">
        <v>71</v>
      </c>
      <c r="D208" s="9" t="s">
        <v>72</v>
      </c>
      <c r="E208" t="s">
        <v>26</v>
      </c>
      <c r="F208" s="2">
        <v>45823</v>
      </c>
      <c r="G208" s="3">
        <v>21</v>
      </c>
      <c r="H208" s="2">
        <v>45851</v>
      </c>
      <c r="I208" s="2">
        <v>45851</v>
      </c>
      <c r="J208" s="3">
        <f>COUNTIFS('OOS Events'!$C:$C,B208,'OOS Events'!$D:$D,C208,'OOS Events'!$E:$E,"&gt;="&amp;D208-90,'OOS Events'!$E:$E,"&lt;"&amp;D208)</f>
        <v>0</v>
      </c>
      <c r="K208" s="3">
        <f>COUNTIF('OOS Events'!$B:$B,A208)</f>
        <v>1</v>
      </c>
      <c r="L208" s="3">
        <v>0</v>
      </c>
      <c r="M208" s="3">
        <v>19</v>
      </c>
      <c r="N208" t="s">
        <v>44</v>
      </c>
    </row>
    <row r="209" spans="1:14" ht="15" customHeight="1">
      <c r="A209" t="s">
        <v>283</v>
      </c>
      <c r="B209" t="s">
        <v>64</v>
      </c>
      <c r="C209" s="8" t="s">
        <v>24</v>
      </c>
      <c r="D209" s="9" t="s">
        <v>25</v>
      </c>
      <c r="E209" t="s">
        <v>20</v>
      </c>
      <c r="F209" s="2">
        <v>45825</v>
      </c>
      <c r="G209" s="3">
        <v>13</v>
      </c>
      <c r="H209" s="2">
        <v>45853</v>
      </c>
      <c r="I209" s="2">
        <v>45852</v>
      </c>
      <c r="J209" s="3">
        <f>COUNTIFS('OOS Events'!$C:$C,B209,'OOS Events'!$D:$D,C209,'OOS Events'!$E:$E,"&gt;="&amp;D209-90,'OOS Events'!$E:$E,"&lt;"&amp;D209)</f>
        <v>0</v>
      </c>
      <c r="K209" s="3">
        <f>COUNTIF('OOS Events'!$B:$B,A209)</f>
        <v>0</v>
      </c>
      <c r="L209" s="3">
        <v>1</v>
      </c>
      <c r="M209" s="3">
        <v>24</v>
      </c>
      <c r="N209" t="s">
        <v>44</v>
      </c>
    </row>
    <row r="210" spans="1:14" ht="15" customHeight="1">
      <c r="A210" t="s">
        <v>284</v>
      </c>
      <c r="B210" t="s">
        <v>109</v>
      </c>
      <c r="C210" s="8" t="s">
        <v>24</v>
      </c>
      <c r="D210" s="9" t="s">
        <v>25</v>
      </c>
      <c r="E210" t="s">
        <v>26</v>
      </c>
      <c r="F210" s="2">
        <v>45826</v>
      </c>
      <c r="G210" s="3">
        <v>20</v>
      </c>
      <c r="H210" s="2">
        <v>45862</v>
      </c>
      <c r="I210" s="2">
        <v>45862</v>
      </c>
      <c r="J210" s="3">
        <f>COUNTIFS('OOS Events'!$C:$C,B210,'OOS Events'!$D:$D,C210,'OOS Events'!$E:$E,"&gt;="&amp;D210-90,'OOS Events'!$E:$E,"&lt;"&amp;D210)</f>
        <v>0</v>
      </c>
      <c r="K210" s="3">
        <f>COUNTIF('OOS Events'!$B:$B,A210)</f>
        <v>0</v>
      </c>
      <c r="L210" s="3">
        <v>1</v>
      </c>
      <c r="M210" s="3">
        <v>19</v>
      </c>
      <c r="N210" t="s">
        <v>27</v>
      </c>
    </row>
    <row r="211" spans="1:14" ht="15" customHeight="1">
      <c r="A211" t="s">
        <v>285</v>
      </c>
      <c r="B211" t="s">
        <v>196</v>
      </c>
      <c r="C211" s="8" t="s">
        <v>71</v>
      </c>
      <c r="D211" s="9" t="s">
        <v>72</v>
      </c>
      <c r="E211" t="s">
        <v>43</v>
      </c>
      <c r="F211" s="2">
        <v>45827</v>
      </c>
      <c r="G211" s="3">
        <v>28</v>
      </c>
      <c r="H211" s="2">
        <v>45851</v>
      </c>
      <c r="I211" s="2">
        <v>45851</v>
      </c>
      <c r="J211" s="3">
        <f>COUNTIFS('OOS Events'!$C:$C,B211,'OOS Events'!$D:$D,C211,'OOS Events'!$E:$E,"&gt;="&amp;D211-90,'OOS Events'!$E:$E,"&lt;"&amp;D211)</f>
        <v>0</v>
      </c>
      <c r="K211" s="3">
        <f>COUNTIF('OOS Events'!$B:$B,A211)</f>
        <v>1</v>
      </c>
      <c r="L211" s="3">
        <v>3</v>
      </c>
      <c r="M211" s="3">
        <v>23</v>
      </c>
      <c r="N211" t="s">
        <v>40</v>
      </c>
    </row>
    <row r="212" spans="1:14" ht="15" customHeight="1">
      <c r="A212" t="s">
        <v>286</v>
      </c>
      <c r="B212" t="s">
        <v>70</v>
      </c>
      <c r="C212" s="8" t="s">
        <v>71</v>
      </c>
      <c r="D212" s="9" t="s">
        <v>72</v>
      </c>
      <c r="E212" t="s">
        <v>26</v>
      </c>
      <c r="F212" s="2">
        <v>45829</v>
      </c>
      <c r="G212" s="3">
        <v>21</v>
      </c>
      <c r="H212" s="2">
        <v>45847</v>
      </c>
      <c r="I212" s="4">
        <v>45852</v>
      </c>
      <c r="J212" s="3">
        <f>COUNTIFS('OOS Events'!$C:$C,B212,'OOS Events'!$D:$D,C212,'OOS Events'!$E:$E,"&gt;="&amp;D212-90,'OOS Events'!$E:$E,"&lt;"&amp;D212)</f>
        <v>0</v>
      </c>
      <c r="K212" s="3">
        <f>COUNTIF('OOS Events'!$B:$B,A212)</f>
        <v>0</v>
      </c>
      <c r="L212" s="3">
        <v>3</v>
      </c>
      <c r="M212" s="3">
        <v>18</v>
      </c>
      <c r="N212" t="s">
        <v>40</v>
      </c>
    </row>
    <row r="213" spans="1:14" ht="15" customHeight="1">
      <c r="A213" t="s">
        <v>287</v>
      </c>
      <c r="B213" t="s">
        <v>142</v>
      </c>
      <c r="C213" s="8" t="s">
        <v>71</v>
      </c>
      <c r="D213" s="9" t="s">
        <v>72</v>
      </c>
      <c r="E213" t="s">
        <v>34</v>
      </c>
      <c r="F213" s="2">
        <v>45830</v>
      </c>
      <c r="G213" s="3">
        <v>14</v>
      </c>
      <c r="H213" s="2">
        <v>45858</v>
      </c>
      <c r="I213" s="4">
        <v>45859</v>
      </c>
      <c r="J213" s="3">
        <f>COUNTIFS('OOS Events'!$C:$C,B213,'OOS Events'!$D:$D,C213,'OOS Events'!$E:$E,"&gt;="&amp;D213-90,'OOS Events'!$E:$E,"&lt;"&amp;D213)</f>
        <v>0</v>
      </c>
      <c r="K213" s="3">
        <f>COUNTIF('OOS Events'!$B:$B,A213)</f>
        <v>0</v>
      </c>
      <c r="L213" s="3">
        <v>1</v>
      </c>
      <c r="M213" s="3">
        <v>16</v>
      </c>
      <c r="N213" t="s">
        <v>44</v>
      </c>
    </row>
    <row r="214" spans="1:14" ht="15" customHeight="1">
      <c r="A214" t="s">
        <v>288</v>
      </c>
      <c r="B214" t="s">
        <v>229</v>
      </c>
      <c r="C214" s="8" t="s">
        <v>33</v>
      </c>
      <c r="D214" s="9" t="s">
        <v>19</v>
      </c>
      <c r="E214" t="s">
        <v>60</v>
      </c>
      <c r="F214" s="2">
        <v>45831</v>
      </c>
      <c r="G214" s="3">
        <v>25</v>
      </c>
      <c r="H214" s="2">
        <v>45865</v>
      </c>
      <c r="I214" s="2">
        <v>45865</v>
      </c>
      <c r="J214" s="3">
        <f>COUNTIFS('OOS Events'!$C:$C,B214,'OOS Events'!$D:$D,C214,'OOS Events'!$E:$E,"&gt;="&amp;D214-90,'OOS Events'!$E:$E,"&lt;"&amp;D214)</f>
        <v>0</v>
      </c>
      <c r="K214" s="3">
        <f>COUNTIF('OOS Events'!$B:$B,A214)</f>
        <v>0</v>
      </c>
      <c r="L214" s="3">
        <v>2</v>
      </c>
      <c r="M214" s="3">
        <v>46</v>
      </c>
      <c r="N214" t="s">
        <v>27</v>
      </c>
    </row>
    <row r="215" spans="1:14" ht="15" customHeight="1">
      <c r="A215" t="s">
        <v>289</v>
      </c>
      <c r="B215" t="s">
        <v>77</v>
      </c>
      <c r="C215" s="8" t="s">
        <v>33</v>
      </c>
      <c r="D215" s="9" t="s">
        <v>19</v>
      </c>
      <c r="E215" t="s">
        <v>20</v>
      </c>
      <c r="F215" s="2">
        <v>45831</v>
      </c>
      <c r="G215" s="3">
        <v>18</v>
      </c>
      <c r="H215" s="2">
        <v>45849</v>
      </c>
      <c r="I215" s="4">
        <v>45854</v>
      </c>
      <c r="J215" s="3">
        <f>COUNTIFS('OOS Events'!$C:$C,B215,'OOS Events'!$D:$D,C215,'OOS Events'!$E:$E,"&gt;="&amp;D215-90,'OOS Events'!$E:$E,"&lt;"&amp;D215)</f>
        <v>0</v>
      </c>
      <c r="K215" s="3">
        <f>COUNTIF('OOS Events'!$B:$B,A215)</f>
        <v>1</v>
      </c>
      <c r="L215" s="3">
        <v>1</v>
      </c>
      <c r="M215" s="3">
        <v>29</v>
      </c>
      <c r="N215" t="s">
        <v>21</v>
      </c>
    </row>
    <row r="216" spans="1:14" ht="15" customHeight="1">
      <c r="A216" t="s">
        <v>290</v>
      </c>
      <c r="B216" t="s">
        <v>174</v>
      </c>
      <c r="C216" s="8" t="s">
        <v>71</v>
      </c>
      <c r="D216" s="9" t="s">
        <v>72</v>
      </c>
      <c r="E216" t="s">
        <v>60</v>
      </c>
      <c r="F216" s="2">
        <v>45834</v>
      </c>
      <c r="G216" s="3">
        <v>18</v>
      </c>
      <c r="H216" s="2">
        <v>45859</v>
      </c>
      <c r="I216" s="4">
        <v>45862</v>
      </c>
      <c r="J216" s="3">
        <f>COUNTIFS('OOS Events'!$C:$C,B216,'OOS Events'!$D:$D,C216,'OOS Events'!$E:$E,"&gt;="&amp;D216-90,'OOS Events'!$E:$E,"&lt;"&amp;D216)</f>
        <v>0</v>
      </c>
      <c r="K216" s="3">
        <f>COUNTIF('OOS Events'!$B:$B,A216)</f>
        <v>0</v>
      </c>
      <c r="L216" s="3">
        <v>0</v>
      </c>
      <c r="M216" s="3">
        <v>13</v>
      </c>
      <c r="N216" t="s">
        <v>40</v>
      </c>
    </row>
    <row r="217" spans="1:14" ht="15" customHeight="1">
      <c r="A217" t="s">
        <v>291</v>
      </c>
      <c r="B217" t="s">
        <v>263</v>
      </c>
      <c r="C217" s="8" t="s">
        <v>33</v>
      </c>
      <c r="D217" s="9" t="s">
        <v>19</v>
      </c>
      <c r="E217" t="s">
        <v>34</v>
      </c>
      <c r="F217" s="2">
        <v>45835</v>
      </c>
      <c r="G217" s="3">
        <v>13</v>
      </c>
      <c r="H217" s="2">
        <v>45856</v>
      </c>
      <c r="I217" s="2">
        <v>45854</v>
      </c>
      <c r="J217" s="3">
        <f>COUNTIFS('OOS Events'!$C:$C,B217,'OOS Events'!$D:$D,C217,'OOS Events'!$E:$E,"&gt;="&amp;D217-90,'OOS Events'!$E:$E,"&lt;"&amp;D217)</f>
        <v>0</v>
      </c>
      <c r="K217" s="3">
        <f>COUNTIF('OOS Events'!$B:$B,A217)</f>
        <v>0</v>
      </c>
      <c r="L217" s="3">
        <v>1</v>
      </c>
      <c r="M217" s="3">
        <v>22</v>
      </c>
      <c r="N217" t="s">
        <v>44</v>
      </c>
    </row>
    <row r="218" spans="1:14" ht="15" customHeight="1">
      <c r="A218" t="s">
        <v>292</v>
      </c>
      <c r="B218" t="s">
        <v>81</v>
      </c>
      <c r="C218" s="8" t="s">
        <v>71</v>
      </c>
      <c r="D218" s="9" t="s">
        <v>72</v>
      </c>
      <c r="E218" t="s">
        <v>26</v>
      </c>
      <c r="F218" s="2">
        <v>45835</v>
      </c>
      <c r="G218" s="3">
        <v>21</v>
      </c>
      <c r="H218" s="2">
        <v>45862</v>
      </c>
      <c r="I218" s="2">
        <v>45859</v>
      </c>
      <c r="J218" s="3">
        <f>COUNTIFS('OOS Events'!$C:$C,B218,'OOS Events'!$D:$D,C218,'OOS Events'!$E:$E,"&gt;="&amp;D218-90,'OOS Events'!$E:$E,"&lt;"&amp;D218)</f>
        <v>0</v>
      </c>
      <c r="K218" s="3">
        <f>COUNTIF('OOS Events'!$B:$B,A218)</f>
        <v>1</v>
      </c>
      <c r="L218" s="3">
        <v>1</v>
      </c>
      <c r="M218" s="3">
        <v>13</v>
      </c>
      <c r="N218" t="s">
        <v>47</v>
      </c>
    </row>
    <row r="219" spans="1:14" ht="15" customHeight="1">
      <c r="A219" t="s">
        <v>293</v>
      </c>
      <c r="B219" t="s">
        <v>206</v>
      </c>
      <c r="C219" s="8" t="s">
        <v>71</v>
      </c>
      <c r="D219" s="9" t="s">
        <v>72</v>
      </c>
      <c r="E219" t="s">
        <v>34</v>
      </c>
      <c r="F219" s="2">
        <v>45838</v>
      </c>
      <c r="G219" s="3">
        <v>19</v>
      </c>
      <c r="H219" s="2">
        <v>45876</v>
      </c>
      <c r="I219" s="4">
        <v>45877</v>
      </c>
      <c r="J219" s="3">
        <f>COUNTIFS('OOS Events'!$C:$C,B219,'OOS Events'!$D:$D,C219,'OOS Events'!$E:$E,"&gt;="&amp;D219-90,'OOS Events'!$E:$E,"&lt;"&amp;D219)</f>
        <v>0</v>
      </c>
      <c r="K219" s="3">
        <f>COUNTIF('OOS Events'!$B:$B,A219)</f>
        <v>0</v>
      </c>
      <c r="L219" s="3">
        <v>2</v>
      </c>
      <c r="M219" s="3">
        <v>46</v>
      </c>
      <c r="N219" t="s">
        <v>27</v>
      </c>
    </row>
    <row r="220" spans="1:14" ht="15" customHeight="1">
      <c r="A220" t="s">
        <v>294</v>
      </c>
      <c r="B220" t="s">
        <v>295</v>
      </c>
      <c r="C220" s="8" t="s">
        <v>33</v>
      </c>
      <c r="D220" s="9" t="s">
        <v>19</v>
      </c>
      <c r="E220" t="s">
        <v>26</v>
      </c>
      <c r="F220" s="2">
        <v>45839</v>
      </c>
      <c r="G220" s="3">
        <v>25</v>
      </c>
      <c r="H220" s="2">
        <v>45864</v>
      </c>
      <c r="I220" s="2">
        <v>45862</v>
      </c>
      <c r="J220" s="3">
        <f>COUNTIFS('OOS Events'!$C:$C,B220,'OOS Events'!$D:$D,C220,'OOS Events'!$E:$E,"&gt;="&amp;D220-90,'OOS Events'!$E:$E,"&lt;"&amp;D220)</f>
        <v>0</v>
      </c>
      <c r="K220" s="3">
        <f>COUNTIF('OOS Events'!$B:$B,A220)</f>
        <v>0</v>
      </c>
      <c r="L220" s="3">
        <v>0</v>
      </c>
      <c r="M220" s="3">
        <v>15</v>
      </c>
      <c r="N220" t="s">
        <v>40</v>
      </c>
    </row>
    <row r="221" spans="1:14" ht="15" customHeight="1">
      <c r="A221" t="s">
        <v>296</v>
      </c>
      <c r="B221" t="s">
        <v>85</v>
      </c>
      <c r="C221" s="8" t="s">
        <v>71</v>
      </c>
      <c r="D221" s="9" t="s">
        <v>72</v>
      </c>
      <c r="E221" t="s">
        <v>43</v>
      </c>
      <c r="F221" s="2">
        <v>45839</v>
      </c>
      <c r="G221" s="3">
        <v>24</v>
      </c>
      <c r="H221" s="2">
        <v>45872</v>
      </c>
      <c r="I221" s="2">
        <v>45870</v>
      </c>
      <c r="J221" s="3">
        <f>COUNTIFS('OOS Events'!$C:$C,B221,'OOS Events'!$D:$D,C221,'OOS Events'!$E:$E,"&gt;="&amp;D221-90,'OOS Events'!$E:$E,"&lt;"&amp;D221)</f>
        <v>0</v>
      </c>
      <c r="K221" s="3">
        <f>COUNTIF('OOS Events'!$B:$B,A221)</f>
        <v>1</v>
      </c>
      <c r="L221" s="3">
        <v>2</v>
      </c>
      <c r="M221" s="3">
        <v>34</v>
      </c>
      <c r="N221" t="s">
        <v>35</v>
      </c>
    </row>
    <row r="222" spans="1:14" ht="15" customHeight="1">
      <c r="A222" t="s">
        <v>297</v>
      </c>
      <c r="B222" t="s">
        <v>238</v>
      </c>
      <c r="C222" s="8" t="s">
        <v>239</v>
      </c>
      <c r="D222" s="9" t="s">
        <v>240</v>
      </c>
      <c r="E222" t="s">
        <v>30</v>
      </c>
      <c r="F222" s="2">
        <v>45842</v>
      </c>
      <c r="G222" s="3">
        <v>13</v>
      </c>
      <c r="H222" s="2">
        <v>45869</v>
      </c>
      <c r="I222" s="2">
        <v>45869</v>
      </c>
      <c r="J222" s="3">
        <f>COUNTIFS('OOS Events'!$C:$C,B222,'OOS Events'!$D:$D,C222,'OOS Events'!$E:$E,"&gt;="&amp;D222-90,'OOS Events'!$E:$E,"&lt;"&amp;D222)</f>
        <v>0</v>
      </c>
      <c r="K222" s="3">
        <f>COUNTIF('OOS Events'!$B:$B,A222)</f>
        <v>0</v>
      </c>
      <c r="L222" s="3">
        <v>1</v>
      </c>
      <c r="M222" s="3">
        <v>14</v>
      </c>
      <c r="N222" t="s">
        <v>44</v>
      </c>
    </row>
    <row r="223" spans="1:14" ht="15" customHeight="1">
      <c r="A223" t="s">
        <v>298</v>
      </c>
      <c r="B223" t="s">
        <v>89</v>
      </c>
      <c r="C223" s="8" t="s">
        <v>24</v>
      </c>
      <c r="D223" s="9" t="s">
        <v>25</v>
      </c>
      <c r="E223" t="s">
        <v>43</v>
      </c>
      <c r="F223" s="2">
        <v>45842</v>
      </c>
      <c r="G223" s="3">
        <v>18</v>
      </c>
      <c r="H223" s="2">
        <v>45869</v>
      </c>
      <c r="I223" s="4">
        <v>45871</v>
      </c>
      <c r="J223" s="3">
        <f>COUNTIFS('OOS Events'!$C:$C,B223,'OOS Events'!$D:$D,C223,'OOS Events'!$E:$E,"&gt;="&amp;D223-90,'OOS Events'!$E:$E,"&lt;"&amp;D223)</f>
        <v>0</v>
      </c>
      <c r="K223" s="3">
        <f>COUNTIF('OOS Events'!$B:$B,A223)</f>
        <v>0</v>
      </c>
      <c r="L223" s="3">
        <v>1</v>
      </c>
      <c r="M223" s="3">
        <v>19</v>
      </c>
      <c r="N223" t="s">
        <v>47</v>
      </c>
    </row>
    <row r="224" spans="1:14" ht="15" customHeight="1">
      <c r="A224" t="s">
        <v>299</v>
      </c>
      <c r="B224" t="s">
        <v>91</v>
      </c>
      <c r="C224" s="8" t="s">
        <v>24</v>
      </c>
      <c r="D224" s="9" t="s">
        <v>25</v>
      </c>
      <c r="E224" t="s">
        <v>60</v>
      </c>
      <c r="F224" s="2">
        <v>45843</v>
      </c>
      <c r="G224" s="3">
        <v>19</v>
      </c>
      <c r="H224" s="2">
        <v>45859</v>
      </c>
      <c r="I224" s="2">
        <v>45857</v>
      </c>
      <c r="J224" s="3">
        <f>COUNTIFS('OOS Events'!$C:$C,B224,'OOS Events'!$D:$D,C224,'OOS Events'!$E:$E,"&gt;="&amp;D224-90,'OOS Events'!$E:$E,"&lt;"&amp;D224)</f>
        <v>0</v>
      </c>
      <c r="K224" s="3">
        <f>COUNTIF('OOS Events'!$B:$B,A224)</f>
        <v>1</v>
      </c>
      <c r="L224" s="3">
        <v>2</v>
      </c>
      <c r="M224" s="3">
        <v>11</v>
      </c>
      <c r="N224" t="s">
        <v>21</v>
      </c>
    </row>
    <row r="225" spans="1:14" ht="15" customHeight="1">
      <c r="A225" t="s">
        <v>300</v>
      </c>
      <c r="B225" t="s">
        <v>17</v>
      </c>
      <c r="C225" s="8" t="s">
        <v>18</v>
      </c>
      <c r="D225" s="9" t="s">
        <v>19</v>
      </c>
      <c r="E225" t="s">
        <v>34</v>
      </c>
      <c r="F225" s="2">
        <v>45844</v>
      </c>
      <c r="G225" s="3">
        <v>11</v>
      </c>
      <c r="H225" s="2">
        <v>45881</v>
      </c>
      <c r="I225" s="2">
        <v>45879</v>
      </c>
      <c r="J225" s="3">
        <f>COUNTIFS('OOS Events'!$C:$C,B225,'OOS Events'!$D:$D,C225,'OOS Events'!$E:$E,"&gt;="&amp;D225-90,'OOS Events'!$E:$E,"&lt;"&amp;D225)</f>
        <v>0</v>
      </c>
      <c r="K225" s="3">
        <f>COUNTIF('OOS Events'!$B:$B,A225)</f>
        <v>0</v>
      </c>
      <c r="L225" s="3">
        <v>1</v>
      </c>
      <c r="M225" s="3">
        <v>29</v>
      </c>
      <c r="N225" t="s">
        <v>35</v>
      </c>
    </row>
    <row r="226" spans="1:14" ht="15" customHeight="1">
      <c r="A226" t="s">
        <v>301</v>
      </c>
      <c r="B226" t="s">
        <v>273</v>
      </c>
      <c r="C226" s="8" t="s">
        <v>24</v>
      </c>
      <c r="D226" s="9" t="s">
        <v>25</v>
      </c>
      <c r="E226" t="s">
        <v>20</v>
      </c>
      <c r="F226" s="2">
        <v>45846</v>
      </c>
      <c r="G226" s="3">
        <v>13</v>
      </c>
      <c r="H226" s="2">
        <v>45865</v>
      </c>
      <c r="I226" s="4">
        <v>45866</v>
      </c>
      <c r="J226" s="3">
        <f>COUNTIFS('OOS Events'!$C:$C,B226,'OOS Events'!$D:$D,C226,'OOS Events'!$E:$E,"&gt;="&amp;D226-90,'OOS Events'!$E:$E,"&lt;"&amp;D226)</f>
        <v>0</v>
      </c>
      <c r="K226" s="3">
        <f>COUNTIF('OOS Events'!$B:$B,A226)</f>
        <v>0</v>
      </c>
      <c r="L226" s="3">
        <v>1</v>
      </c>
      <c r="M226" s="3">
        <v>19</v>
      </c>
      <c r="N226" t="s">
        <v>40</v>
      </c>
    </row>
    <row r="227" spans="1:14" ht="15" customHeight="1">
      <c r="A227" t="s">
        <v>302</v>
      </c>
      <c r="B227" t="s">
        <v>29</v>
      </c>
      <c r="C227" s="8" t="s">
        <v>24</v>
      </c>
      <c r="D227" s="9" t="s">
        <v>25</v>
      </c>
      <c r="E227" t="s">
        <v>60</v>
      </c>
      <c r="F227" s="2">
        <v>45846</v>
      </c>
      <c r="G227" s="3">
        <v>28</v>
      </c>
      <c r="H227" s="2">
        <v>45882</v>
      </c>
      <c r="I227" s="2">
        <v>45881</v>
      </c>
      <c r="J227" s="3">
        <f>COUNTIFS('OOS Events'!$C:$C,B227,'OOS Events'!$D:$D,C227,'OOS Events'!$E:$E,"&gt;="&amp;D227-90,'OOS Events'!$E:$E,"&lt;"&amp;D227)</f>
        <v>0</v>
      </c>
      <c r="K227" s="3">
        <f>COUNTIF('OOS Events'!$B:$B,A227)</f>
        <v>1</v>
      </c>
      <c r="L227" s="3">
        <v>0</v>
      </c>
      <c r="M227" s="3">
        <v>31</v>
      </c>
      <c r="N227" t="s">
        <v>35</v>
      </c>
    </row>
    <row r="228" spans="1:14" ht="15" customHeight="1">
      <c r="A228" t="s">
        <v>303</v>
      </c>
      <c r="B228" t="s">
        <v>32</v>
      </c>
      <c r="C228" s="8" t="s">
        <v>33</v>
      </c>
      <c r="D228" s="9" t="s">
        <v>19</v>
      </c>
      <c r="E228" t="s">
        <v>20</v>
      </c>
      <c r="F228" s="2">
        <v>45847</v>
      </c>
      <c r="G228" s="3">
        <v>15</v>
      </c>
      <c r="H228" s="2">
        <v>45872</v>
      </c>
      <c r="I228" s="4">
        <v>45874</v>
      </c>
      <c r="J228" s="3">
        <f>COUNTIFS('OOS Events'!$C:$C,B228,'OOS Events'!$D:$D,C228,'OOS Events'!$E:$E,"&gt;="&amp;D228-90,'OOS Events'!$E:$E,"&lt;"&amp;D228)</f>
        <v>0</v>
      </c>
      <c r="K228" s="3">
        <f>COUNTIF('OOS Events'!$B:$B,A228)</f>
        <v>0</v>
      </c>
      <c r="L228" s="3">
        <v>0</v>
      </c>
      <c r="M228" s="3">
        <v>25</v>
      </c>
      <c r="N228" t="s">
        <v>47</v>
      </c>
    </row>
    <row r="229" spans="1:14" ht="15" customHeight="1">
      <c r="A229" t="s">
        <v>304</v>
      </c>
      <c r="B229" t="s">
        <v>97</v>
      </c>
      <c r="C229" s="8" t="s">
        <v>18</v>
      </c>
      <c r="D229" s="9" t="s">
        <v>19</v>
      </c>
      <c r="E229" t="s">
        <v>30</v>
      </c>
      <c r="F229" s="2">
        <v>45848</v>
      </c>
      <c r="G229" s="3">
        <v>12</v>
      </c>
      <c r="H229" s="2">
        <v>45860</v>
      </c>
      <c r="I229" s="2">
        <v>45860</v>
      </c>
      <c r="J229" s="3">
        <f>COUNTIFS('OOS Events'!$C:$C,B229,'OOS Events'!$D:$D,C229,'OOS Events'!$E:$E,"&gt;="&amp;D229-90,'OOS Events'!$E:$E,"&lt;"&amp;D229)</f>
        <v>0</v>
      </c>
      <c r="K229" s="3">
        <f>COUNTIF('OOS Events'!$B:$B,A229)</f>
        <v>0</v>
      </c>
      <c r="L229" s="3">
        <v>0</v>
      </c>
      <c r="M229" s="3">
        <v>11</v>
      </c>
      <c r="N229" t="s">
        <v>21</v>
      </c>
    </row>
    <row r="230" spans="1:14" ht="15" customHeight="1">
      <c r="A230" t="s">
        <v>305</v>
      </c>
      <c r="B230" t="s">
        <v>37</v>
      </c>
      <c r="C230" s="8" t="s">
        <v>38</v>
      </c>
      <c r="D230" s="9" t="s">
        <v>39</v>
      </c>
      <c r="E230" t="s">
        <v>60</v>
      </c>
      <c r="F230" s="2">
        <v>45850</v>
      </c>
      <c r="G230" s="3">
        <v>27</v>
      </c>
      <c r="H230" s="2">
        <v>45888</v>
      </c>
      <c r="I230" s="2">
        <v>45888</v>
      </c>
      <c r="J230" s="3">
        <f>COUNTIFS('OOS Events'!$C:$C,B230,'OOS Events'!$D:$D,C230,'OOS Events'!$E:$E,"&gt;="&amp;D230-90,'OOS Events'!$E:$E,"&lt;"&amp;D230)</f>
        <v>0</v>
      </c>
      <c r="K230" s="3">
        <f>COUNTIF('OOS Events'!$B:$B,A230)</f>
        <v>0</v>
      </c>
      <c r="L230" s="3">
        <v>2</v>
      </c>
      <c r="M230" s="3">
        <v>44</v>
      </c>
      <c r="N230" t="s">
        <v>27</v>
      </c>
    </row>
    <row r="231" spans="1:14" ht="15" customHeight="1">
      <c r="A231" t="s">
        <v>306</v>
      </c>
      <c r="B231" t="s">
        <v>46</v>
      </c>
      <c r="C231" s="8" t="s">
        <v>24</v>
      </c>
      <c r="D231" s="9" t="s">
        <v>25</v>
      </c>
      <c r="E231" t="s">
        <v>34</v>
      </c>
      <c r="F231" s="2">
        <v>45850</v>
      </c>
      <c r="G231" s="3">
        <v>12</v>
      </c>
      <c r="H231" s="2">
        <v>45865</v>
      </c>
      <c r="I231" s="2">
        <v>45863</v>
      </c>
      <c r="J231" s="3">
        <f>COUNTIFS('OOS Events'!$C:$C,B231,'OOS Events'!$D:$D,C231,'OOS Events'!$E:$E,"&gt;="&amp;D231-90,'OOS Events'!$E:$E,"&lt;"&amp;D231)</f>
        <v>0</v>
      </c>
      <c r="K231" s="3">
        <f>COUNTIF('OOS Events'!$B:$B,A231)</f>
        <v>1</v>
      </c>
      <c r="L231" s="3">
        <v>0</v>
      </c>
      <c r="M231" s="3">
        <v>29</v>
      </c>
      <c r="N231" t="s">
        <v>21</v>
      </c>
    </row>
    <row r="232" spans="1:14" ht="15" customHeight="1">
      <c r="A232" t="s">
        <v>307</v>
      </c>
      <c r="B232" t="s">
        <v>49</v>
      </c>
      <c r="C232" s="8" t="s">
        <v>33</v>
      </c>
      <c r="D232" s="9" t="s">
        <v>19</v>
      </c>
      <c r="E232" t="s">
        <v>30</v>
      </c>
      <c r="F232" s="2">
        <v>45851</v>
      </c>
      <c r="G232" s="3">
        <v>10</v>
      </c>
      <c r="H232" s="2">
        <v>45884</v>
      </c>
      <c r="I232" s="4">
        <v>45887</v>
      </c>
      <c r="J232" s="3">
        <f>COUNTIFS('OOS Events'!$C:$C,B232,'OOS Events'!$D:$D,C232,'OOS Events'!$E:$E,"&gt;="&amp;D232-90,'OOS Events'!$E:$E,"&lt;"&amp;D232)</f>
        <v>0</v>
      </c>
      <c r="K232" s="3">
        <f>COUNTIF('OOS Events'!$B:$B,A232)</f>
        <v>0</v>
      </c>
      <c r="L232" s="3">
        <v>2</v>
      </c>
      <c r="M232" s="3">
        <v>41</v>
      </c>
      <c r="N232" t="s">
        <v>35</v>
      </c>
    </row>
    <row r="233" spans="1:14" ht="15" customHeight="1">
      <c r="A233" t="s">
        <v>308</v>
      </c>
      <c r="B233" t="s">
        <v>130</v>
      </c>
      <c r="C233" s="8" t="s">
        <v>71</v>
      </c>
      <c r="D233" s="9" t="s">
        <v>72</v>
      </c>
      <c r="E233" t="s">
        <v>20</v>
      </c>
      <c r="F233" s="2">
        <v>45852</v>
      </c>
      <c r="G233" s="3">
        <v>20</v>
      </c>
      <c r="H233" s="2">
        <v>45882</v>
      </c>
      <c r="I233" s="2">
        <v>45882</v>
      </c>
      <c r="J233" s="3">
        <f>COUNTIFS('OOS Events'!$C:$C,B233,'OOS Events'!$D:$D,C233,'OOS Events'!$E:$E,"&gt;="&amp;D233-90,'OOS Events'!$E:$E,"&lt;"&amp;D233)</f>
        <v>0</v>
      </c>
      <c r="K233" s="3">
        <f>COUNTIF('OOS Events'!$B:$B,A233)</f>
        <v>0</v>
      </c>
      <c r="L233" s="3">
        <v>2</v>
      </c>
      <c r="M233" s="3">
        <v>20</v>
      </c>
      <c r="N233" t="s">
        <v>47</v>
      </c>
    </row>
    <row r="234" spans="1:14" ht="15" customHeight="1">
      <c r="A234" t="s">
        <v>309</v>
      </c>
      <c r="B234" t="s">
        <v>55</v>
      </c>
      <c r="C234" s="8" t="s">
        <v>33</v>
      </c>
      <c r="D234" s="9" t="s">
        <v>19</v>
      </c>
      <c r="E234" t="s">
        <v>30</v>
      </c>
      <c r="F234" s="2">
        <v>45854</v>
      </c>
      <c r="G234" s="3">
        <v>13</v>
      </c>
      <c r="H234" s="2">
        <v>45884</v>
      </c>
      <c r="I234" s="4">
        <v>45889</v>
      </c>
      <c r="J234" s="3">
        <f>COUNTIFS('OOS Events'!$C:$C,B234,'OOS Events'!$D:$D,C234,'OOS Events'!$E:$E,"&gt;="&amp;D234-90,'OOS Events'!$E:$E,"&lt;"&amp;D234)</f>
        <v>0</v>
      </c>
      <c r="K234" s="3">
        <f>COUNTIF('OOS Events'!$B:$B,A234)</f>
        <v>0</v>
      </c>
      <c r="L234" s="3">
        <v>0</v>
      </c>
      <c r="M234" s="3">
        <v>17</v>
      </c>
      <c r="N234" t="s">
        <v>47</v>
      </c>
    </row>
    <row r="235" spans="1:14" ht="15" customHeight="1">
      <c r="A235" t="s">
        <v>310</v>
      </c>
      <c r="B235" t="s">
        <v>57</v>
      </c>
      <c r="C235" s="8" t="s">
        <v>24</v>
      </c>
      <c r="D235" s="9" t="s">
        <v>25</v>
      </c>
      <c r="E235" t="s">
        <v>20</v>
      </c>
      <c r="F235" s="2">
        <v>45855</v>
      </c>
      <c r="G235" s="3">
        <v>19</v>
      </c>
      <c r="H235" s="2">
        <v>45870</v>
      </c>
      <c r="I235" s="4">
        <v>45871</v>
      </c>
      <c r="J235" s="3">
        <f>COUNTIFS('OOS Events'!$C:$C,B235,'OOS Events'!$D:$D,C235,'OOS Events'!$E:$E,"&gt;="&amp;D235-90,'OOS Events'!$E:$E,"&lt;"&amp;D235)</f>
        <v>0</v>
      </c>
      <c r="K235" s="3">
        <f>COUNTIF('OOS Events'!$B:$B,A235)</f>
        <v>0</v>
      </c>
      <c r="L235" s="3">
        <v>0</v>
      </c>
      <c r="M235" s="3">
        <v>16</v>
      </c>
      <c r="N235" t="s">
        <v>21</v>
      </c>
    </row>
    <row r="236" spans="1:14" ht="15" customHeight="1">
      <c r="A236" t="s">
        <v>311</v>
      </c>
      <c r="B236" t="s">
        <v>163</v>
      </c>
      <c r="C236" s="8" t="s">
        <v>71</v>
      </c>
      <c r="D236" s="9" t="s">
        <v>72</v>
      </c>
      <c r="E236" t="s">
        <v>60</v>
      </c>
      <c r="F236" s="2">
        <v>45856</v>
      </c>
      <c r="G236" s="3">
        <v>23</v>
      </c>
      <c r="H236" s="2">
        <v>45888</v>
      </c>
      <c r="I236" s="2">
        <v>45887</v>
      </c>
      <c r="J236" s="3">
        <f>COUNTIFS('OOS Events'!$C:$C,B236,'OOS Events'!$D:$D,C236,'OOS Events'!$E:$E,"&gt;="&amp;D236-90,'OOS Events'!$E:$E,"&lt;"&amp;D236)</f>
        <v>0</v>
      </c>
      <c r="K236" s="3">
        <f>COUNTIF('OOS Events'!$B:$B,A236)</f>
        <v>0</v>
      </c>
      <c r="L236" s="3">
        <v>1</v>
      </c>
      <c r="M236" s="3">
        <v>42</v>
      </c>
      <c r="N236" t="s">
        <v>35</v>
      </c>
    </row>
    <row r="237" spans="1:14" ht="15" customHeight="1">
      <c r="A237" t="s">
        <v>312</v>
      </c>
      <c r="B237" t="s">
        <v>64</v>
      </c>
      <c r="C237" s="8" t="s">
        <v>24</v>
      </c>
      <c r="D237" s="9" t="s">
        <v>25</v>
      </c>
      <c r="E237" t="s">
        <v>43</v>
      </c>
      <c r="F237" s="2">
        <v>45858</v>
      </c>
      <c r="G237" s="3">
        <v>16</v>
      </c>
      <c r="H237" s="2">
        <v>45890</v>
      </c>
      <c r="I237" s="4">
        <v>45892</v>
      </c>
      <c r="J237" s="3">
        <f>COUNTIFS('OOS Events'!$C:$C,B237,'OOS Events'!$D:$D,C237,'OOS Events'!$E:$E,"&gt;="&amp;D237-90,'OOS Events'!$E:$E,"&lt;"&amp;D237)</f>
        <v>0</v>
      </c>
      <c r="K237" s="3">
        <f>COUNTIF('OOS Events'!$B:$B,A237)</f>
        <v>0</v>
      </c>
      <c r="L237" s="3">
        <v>2</v>
      </c>
      <c r="M237" s="3">
        <v>33</v>
      </c>
      <c r="N237" t="s">
        <v>35</v>
      </c>
    </row>
    <row r="238" spans="1:14" ht="15" customHeight="1">
      <c r="A238" t="s">
        <v>313</v>
      </c>
      <c r="B238" t="s">
        <v>109</v>
      </c>
      <c r="C238" s="8" t="s">
        <v>24</v>
      </c>
      <c r="D238" s="9" t="s">
        <v>25</v>
      </c>
      <c r="E238" t="s">
        <v>26</v>
      </c>
      <c r="F238" s="2">
        <v>45859</v>
      </c>
      <c r="G238" s="3">
        <v>18</v>
      </c>
      <c r="H238" s="2">
        <v>45891</v>
      </c>
      <c r="I238" s="2">
        <v>45889</v>
      </c>
      <c r="J238" s="3">
        <f>COUNTIFS('OOS Events'!$C:$C,B238,'OOS Events'!$D:$D,C238,'OOS Events'!$E:$E,"&gt;="&amp;D238-90,'OOS Events'!$E:$E,"&lt;"&amp;D238)</f>
        <v>0</v>
      </c>
      <c r="K238" s="3">
        <f>COUNTIF('OOS Events'!$B:$B,A238)</f>
        <v>0</v>
      </c>
      <c r="L238" s="3">
        <v>1</v>
      </c>
      <c r="M238" s="3">
        <v>31</v>
      </c>
      <c r="N238" t="s">
        <v>47</v>
      </c>
    </row>
    <row r="239" spans="1:14" ht="15" customHeight="1">
      <c r="A239" t="s">
        <v>314</v>
      </c>
      <c r="B239" t="s">
        <v>196</v>
      </c>
      <c r="C239" s="8" t="s">
        <v>71</v>
      </c>
      <c r="D239" s="9" t="s">
        <v>72</v>
      </c>
      <c r="E239" t="s">
        <v>43</v>
      </c>
      <c r="F239" s="2">
        <v>45860</v>
      </c>
      <c r="G239" s="3">
        <v>21</v>
      </c>
      <c r="H239" s="2">
        <v>45875</v>
      </c>
      <c r="I239" s="2">
        <v>45875</v>
      </c>
      <c r="J239" s="3">
        <f>COUNTIFS('OOS Events'!$C:$C,B239,'OOS Events'!$D:$D,C239,'OOS Events'!$E:$E,"&gt;="&amp;D239-90,'OOS Events'!$E:$E,"&lt;"&amp;D239)</f>
        <v>0</v>
      </c>
      <c r="K239" s="3">
        <f>COUNTIF('OOS Events'!$B:$B,A239)</f>
        <v>0</v>
      </c>
      <c r="L239" s="3">
        <v>2</v>
      </c>
      <c r="M239" s="3">
        <v>33</v>
      </c>
      <c r="N239" t="s">
        <v>21</v>
      </c>
    </row>
    <row r="240" spans="1:14" ht="15" customHeight="1">
      <c r="A240" t="s">
        <v>315</v>
      </c>
      <c r="B240" t="s">
        <v>70</v>
      </c>
      <c r="C240" s="8" t="s">
        <v>71</v>
      </c>
      <c r="D240" s="9" t="s">
        <v>72</v>
      </c>
      <c r="E240" t="s">
        <v>26</v>
      </c>
      <c r="F240" s="2">
        <v>45862</v>
      </c>
      <c r="G240" s="3">
        <v>21</v>
      </c>
      <c r="H240" s="2">
        <v>45881</v>
      </c>
      <c r="I240" s="2">
        <v>45880</v>
      </c>
      <c r="J240" s="3">
        <f>COUNTIFS('OOS Events'!$C:$C,B240,'OOS Events'!$D:$D,C240,'OOS Events'!$E:$E,"&gt;="&amp;D240-90,'OOS Events'!$E:$E,"&lt;"&amp;D240)</f>
        <v>0</v>
      </c>
      <c r="K240" s="3">
        <f>COUNTIF('OOS Events'!$B:$B,A240)</f>
        <v>0</v>
      </c>
      <c r="L240" s="3">
        <v>0</v>
      </c>
      <c r="M240" s="3">
        <v>24</v>
      </c>
      <c r="N240" t="s">
        <v>21</v>
      </c>
    </row>
    <row r="241" spans="1:14" ht="15" customHeight="1">
      <c r="A241" t="s">
        <v>316</v>
      </c>
      <c r="B241" t="s">
        <v>142</v>
      </c>
      <c r="C241" s="8" t="s">
        <v>71</v>
      </c>
      <c r="D241" s="9" t="s">
        <v>72</v>
      </c>
      <c r="E241" t="s">
        <v>43</v>
      </c>
      <c r="F241" s="2">
        <v>45863</v>
      </c>
      <c r="G241" s="3">
        <v>23</v>
      </c>
      <c r="H241" s="2">
        <v>45899</v>
      </c>
      <c r="I241" s="4">
        <v>45902</v>
      </c>
      <c r="J241" s="3">
        <f>COUNTIFS('OOS Events'!$C:$C,B241,'OOS Events'!$D:$D,C241,'OOS Events'!$E:$E,"&gt;="&amp;D241-90,'OOS Events'!$E:$E,"&lt;"&amp;D241)</f>
        <v>0</v>
      </c>
      <c r="K241" s="3">
        <f>COUNTIF('OOS Events'!$B:$B,A241)</f>
        <v>0</v>
      </c>
      <c r="L241" s="3">
        <v>0</v>
      </c>
      <c r="M241" s="3">
        <v>26</v>
      </c>
      <c r="N241" t="s">
        <v>35</v>
      </c>
    </row>
    <row r="242" spans="1:14" ht="15" customHeight="1">
      <c r="A242" t="s">
        <v>317</v>
      </c>
      <c r="B242" t="s">
        <v>229</v>
      </c>
      <c r="C242" s="8" t="s">
        <v>33</v>
      </c>
      <c r="D242" s="9" t="s">
        <v>19</v>
      </c>
      <c r="E242" t="s">
        <v>60</v>
      </c>
      <c r="F242" s="2">
        <v>45864</v>
      </c>
      <c r="G242" s="3">
        <v>22</v>
      </c>
      <c r="H242" s="2">
        <v>45891</v>
      </c>
      <c r="I242" s="4">
        <v>45894</v>
      </c>
      <c r="J242" s="3">
        <f>COUNTIFS('OOS Events'!$C:$C,B242,'OOS Events'!$D:$D,C242,'OOS Events'!$E:$E,"&gt;="&amp;D242-90,'OOS Events'!$E:$E,"&lt;"&amp;D242)</f>
        <v>0</v>
      </c>
      <c r="K242" s="3">
        <f>COUNTIF('OOS Events'!$B:$B,A242)</f>
        <v>0</v>
      </c>
      <c r="L242" s="3">
        <v>1</v>
      </c>
      <c r="M242" s="3">
        <v>13</v>
      </c>
      <c r="N242" t="s">
        <v>47</v>
      </c>
    </row>
    <row r="243" spans="1:14" ht="15" customHeight="1">
      <c r="A243" t="s">
        <v>318</v>
      </c>
      <c r="B243" t="s">
        <v>174</v>
      </c>
      <c r="C243" s="8" t="s">
        <v>71</v>
      </c>
      <c r="D243" s="9" t="s">
        <v>72</v>
      </c>
      <c r="E243" t="s">
        <v>30</v>
      </c>
      <c r="F243" s="2">
        <v>45867</v>
      </c>
      <c r="G243" s="3">
        <v>16</v>
      </c>
      <c r="H243" s="2">
        <v>45886</v>
      </c>
      <c r="I243" s="2">
        <v>45884</v>
      </c>
      <c r="J243" s="3">
        <f>COUNTIFS('OOS Events'!$C:$C,B243,'OOS Events'!$D:$D,C243,'OOS Events'!$E:$E,"&gt;="&amp;D243-90,'OOS Events'!$E:$E,"&lt;"&amp;D243)</f>
        <v>0</v>
      </c>
      <c r="K243" s="3">
        <f>COUNTIF('OOS Events'!$B:$B,A243)</f>
        <v>0</v>
      </c>
      <c r="L243" s="3">
        <v>0</v>
      </c>
      <c r="M243" s="3">
        <v>27</v>
      </c>
      <c r="N243" t="s">
        <v>21</v>
      </c>
    </row>
    <row r="244" spans="1:14" ht="15" customHeight="1">
      <c r="A244" t="s">
        <v>319</v>
      </c>
      <c r="B244" t="s">
        <v>263</v>
      </c>
      <c r="C244" s="8" t="s">
        <v>33</v>
      </c>
      <c r="D244" s="9" t="s">
        <v>19</v>
      </c>
      <c r="E244" t="s">
        <v>34</v>
      </c>
      <c r="F244" s="2">
        <v>45868</v>
      </c>
      <c r="G244" s="3">
        <v>7</v>
      </c>
      <c r="H244" s="2">
        <v>45897</v>
      </c>
      <c r="I244" s="4">
        <v>45898</v>
      </c>
      <c r="J244" s="3">
        <f>COUNTIFS('OOS Events'!$C:$C,B244,'OOS Events'!$D:$D,C244,'OOS Events'!$E:$E,"&gt;="&amp;D244-90,'OOS Events'!$E:$E,"&lt;"&amp;D244)</f>
        <v>0</v>
      </c>
      <c r="K244" s="3">
        <f>COUNTIF('OOS Events'!$B:$B,A244)</f>
        <v>0</v>
      </c>
      <c r="L244" s="3">
        <v>0</v>
      </c>
      <c r="M244" s="3">
        <v>38</v>
      </c>
      <c r="N244" t="s">
        <v>35</v>
      </c>
    </row>
    <row r="245" spans="1:14" ht="15" customHeight="1">
      <c r="A245" t="s">
        <v>320</v>
      </c>
      <c r="B245" t="s">
        <v>81</v>
      </c>
      <c r="C245" s="8" t="s">
        <v>71</v>
      </c>
      <c r="D245" s="9" t="s">
        <v>72</v>
      </c>
      <c r="E245" t="s">
        <v>26</v>
      </c>
      <c r="F245" s="2">
        <v>45868</v>
      </c>
      <c r="G245" s="3">
        <v>20</v>
      </c>
      <c r="H245" s="2">
        <v>45894</v>
      </c>
      <c r="I245" s="2">
        <v>45893</v>
      </c>
      <c r="J245" s="3">
        <f>COUNTIFS('OOS Events'!$C:$C,B245,'OOS Events'!$D:$D,C245,'OOS Events'!$E:$E,"&gt;="&amp;D245-90,'OOS Events'!$E:$E,"&lt;"&amp;D245)</f>
        <v>0</v>
      </c>
      <c r="K245" s="3">
        <f>COUNTIF('OOS Events'!$B:$B,A245)</f>
        <v>1</v>
      </c>
      <c r="L245" s="3">
        <v>2</v>
      </c>
      <c r="M245" s="3">
        <v>12</v>
      </c>
      <c r="N245" t="s">
        <v>40</v>
      </c>
    </row>
    <row r="246" spans="1:14" ht="15" customHeight="1">
      <c r="A246" t="s">
        <v>321</v>
      </c>
      <c r="B246" t="s">
        <v>206</v>
      </c>
      <c r="C246" s="8" t="s">
        <v>71</v>
      </c>
      <c r="D246" s="9" t="s">
        <v>72</v>
      </c>
      <c r="E246" t="s">
        <v>34</v>
      </c>
      <c r="F246" s="2">
        <v>45871</v>
      </c>
      <c r="G246" s="3">
        <v>15</v>
      </c>
      <c r="H246" s="2">
        <v>45903</v>
      </c>
      <c r="I246" s="2">
        <v>45903</v>
      </c>
      <c r="J246" s="3">
        <f>COUNTIFS('OOS Events'!$C:$C,B246,'OOS Events'!$D:$D,C246,'OOS Events'!$E:$E,"&gt;="&amp;D246-90,'OOS Events'!$E:$E,"&lt;"&amp;D246)</f>
        <v>0</v>
      </c>
      <c r="K246" s="3">
        <f>COUNTIF('OOS Events'!$B:$B,A246)</f>
        <v>1</v>
      </c>
      <c r="L246" s="3">
        <v>0</v>
      </c>
      <c r="M246" s="3">
        <v>13</v>
      </c>
      <c r="N246" t="s">
        <v>47</v>
      </c>
    </row>
    <row r="247" spans="1:14" ht="15" customHeight="1">
      <c r="A247" t="s">
        <v>322</v>
      </c>
      <c r="B247" t="s">
        <v>295</v>
      </c>
      <c r="C247" s="8" t="s">
        <v>33</v>
      </c>
      <c r="D247" s="9" t="s">
        <v>19</v>
      </c>
      <c r="E247" t="s">
        <v>30</v>
      </c>
      <c r="F247" s="2">
        <v>45872</v>
      </c>
      <c r="G247" s="3">
        <v>14</v>
      </c>
      <c r="H247" s="2">
        <v>45892</v>
      </c>
      <c r="I247" s="2">
        <v>45892</v>
      </c>
      <c r="J247" s="3">
        <f>COUNTIFS('OOS Events'!$C:$C,B247,'OOS Events'!$D:$D,C247,'OOS Events'!$E:$E,"&gt;="&amp;D247-90,'OOS Events'!$E:$E,"&lt;"&amp;D247)</f>
        <v>0</v>
      </c>
      <c r="K247" s="3">
        <f>COUNTIF('OOS Events'!$B:$B,A247)</f>
        <v>1</v>
      </c>
      <c r="L247" s="3">
        <v>0</v>
      </c>
      <c r="M247" s="3">
        <v>17</v>
      </c>
      <c r="N247" t="s">
        <v>21</v>
      </c>
    </row>
    <row r="248" spans="1:14" ht="15" customHeight="1">
      <c r="A248" t="s">
        <v>323</v>
      </c>
      <c r="B248" t="s">
        <v>85</v>
      </c>
      <c r="C248" s="8" t="s">
        <v>71</v>
      </c>
      <c r="D248" s="9" t="s">
        <v>72</v>
      </c>
      <c r="E248" t="s">
        <v>43</v>
      </c>
      <c r="F248" s="2">
        <v>45872</v>
      </c>
      <c r="G248" s="3">
        <v>23</v>
      </c>
      <c r="H248" s="2">
        <v>45912</v>
      </c>
      <c r="I248" s="4">
        <v>45915</v>
      </c>
      <c r="J248" s="3">
        <f>COUNTIFS('OOS Events'!$C:$C,B248,'OOS Events'!$D:$D,C248,'OOS Events'!$E:$E,"&gt;="&amp;D248-90,'OOS Events'!$E:$E,"&lt;"&amp;D248)</f>
        <v>0</v>
      </c>
      <c r="K248" s="3">
        <f>COUNTIF('OOS Events'!$B:$B,A248)</f>
        <v>0</v>
      </c>
      <c r="L248" s="3">
        <v>2</v>
      </c>
      <c r="M248" s="3">
        <v>24</v>
      </c>
      <c r="N248" t="s">
        <v>27</v>
      </c>
    </row>
    <row r="249" spans="1:14" ht="15" customHeight="1">
      <c r="A249" t="s">
        <v>324</v>
      </c>
      <c r="B249" t="s">
        <v>238</v>
      </c>
      <c r="C249" s="8" t="s">
        <v>239</v>
      </c>
      <c r="D249" s="9" t="s">
        <v>240</v>
      </c>
      <c r="E249" t="s">
        <v>30</v>
      </c>
      <c r="F249" s="2">
        <v>45875</v>
      </c>
      <c r="G249" s="3">
        <v>14</v>
      </c>
      <c r="H249" s="2">
        <v>45909</v>
      </c>
      <c r="I249" s="2">
        <v>45908</v>
      </c>
      <c r="J249" s="3">
        <f>COUNTIFS('OOS Events'!$C:$C,B249,'OOS Events'!$D:$D,C249,'OOS Events'!$E:$E,"&gt;="&amp;D249-90,'OOS Events'!$E:$E,"&lt;"&amp;D249)</f>
        <v>0</v>
      </c>
      <c r="K249" s="3">
        <f>COUNTIF('OOS Events'!$B:$B,A249)</f>
        <v>0</v>
      </c>
      <c r="L249" s="3">
        <v>1</v>
      </c>
      <c r="M249" s="3">
        <v>41</v>
      </c>
      <c r="N249" t="s">
        <v>35</v>
      </c>
    </row>
    <row r="250" spans="1:14" ht="15" customHeight="1">
      <c r="A250" t="s">
        <v>325</v>
      </c>
      <c r="B250" t="s">
        <v>87</v>
      </c>
      <c r="C250" s="8" t="s">
        <v>71</v>
      </c>
      <c r="D250" s="9" t="s">
        <v>72</v>
      </c>
      <c r="E250" t="s">
        <v>43</v>
      </c>
      <c r="F250" s="2">
        <v>45876</v>
      </c>
      <c r="G250" s="3">
        <v>29</v>
      </c>
      <c r="H250" s="2">
        <v>45909</v>
      </c>
      <c r="I250" s="4">
        <v>45917</v>
      </c>
      <c r="J250" s="3">
        <f>COUNTIFS('OOS Events'!$C:$C,B250,'OOS Events'!$D:$D,C250,'OOS Events'!$E:$E,"&gt;="&amp;D250-90,'OOS Events'!$E:$E,"&lt;"&amp;D250)</f>
        <v>0</v>
      </c>
      <c r="K250" s="3">
        <f>COUNTIF('OOS Events'!$B:$B,A250)</f>
        <v>0</v>
      </c>
      <c r="L250" s="3">
        <v>0</v>
      </c>
      <c r="M250" s="3">
        <v>34</v>
      </c>
      <c r="N250" t="s">
        <v>47</v>
      </c>
    </row>
    <row r="251" spans="1:14" ht="15" customHeight="1">
      <c r="A251" t="s">
        <v>326</v>
      </c>
      <c r="B251" t="s">
        <v>91</v>
      </c>
      <c r="C251" s="8" t="s">
        <v>24</v>
      </c>
      <c r="D251" s="9" t="s">
        <v>25</v>
      </c>
      <c r="E251" t="s">
        <v>60</v>
      </c>
      <c r="F251" s="2">
        <v>45876</v>
      </c>
      <c r="G251" s="3">
        <v>19</v>
      </c>
      <c r="H251" s="2">
        <v>45902</v>
      </c>
      <c r="I251" s="4">
        <v>45903</v>
      </c>
      <c r="J251" s="3">
        <f>COUNTIFS('OOS Events'!$C:$C,B251,'OOS Events'!$D:$D,C251,'OOS Events'!$E:$E,"&gt;="&amp;D251-90,'OOS Events'!$E:$E,"&lt;"&amp;D251)</f>
        <v>0</v>
      </c>
      <c r="K251" s="3">
        <f>COUNTIF('OOS Events'!$B:$B,A251)</f>
        <v>0</v>
      </c>
      <c r="L251" s="3">
        <v>0</v>
      </c>
      <c r="M251" s="3">
        <v>35</v>
      </c>
      <c r="N251" t="s">
        <v>44</v>
      </c>
    </row>
    <row r="252" spans="1:14" ht="15" customHeight="1">
      <c r="A252" t="s">
        <v>327</v>
      </c>
      <c r="B252" t="s">
        <v>17</v>
      </c>
      <c r="C252" s="8" t="s">
        <v>18</v>
      </c>
      <c r="D252" s="9" t="s">
        <v>19</v>
      </c>
      <c r="E252" t="s">
        <v>34</v>
      </c>
      <c r="F252" s="2">
        <v>45877</v>
      </c>
      <c r="G252" s="3">
        <v>17</v>
      </c>
      <c r="H252" s="2">
        <v>45911</v>
      </c>
      <c r="I252" s="4">
        <v>45913</v>
      </c>
      <c r="J252" s="3">
        <f>COUNTIFS('OOS Events'!$C:$C,B252,'OOS Events'!$D:$D,C252,'OOS Events'!$E:$E,"&gt;="&amp;D252-90,'OOS Events'!$E:$E,"&lt;"&amp;D252)</f>
        <v>0</v>
      </c>
      <c r="K252" s="3">
        <f>COUNTIF('OOS Events'!$B:$B,A252)</f>
        <v>0</v>
      </c>
      <c r="L252" s="3">
        <v>2</v>
      </c>
      <c r="M252" s="3">
        <v>37</v>
      </c>
      <c r="N252" t="s">
        <v>27</v>
      </c>
    </row>
    <row r="253" spans="1:14" ht="15" customHeight="1">
      <c r="A253" t="s">
        <v>328</v>
      </c>
      <c r="B253" t="s">
        <v>273</v>
      </c>
      <c r="C253" s="8" t="s">
        <v>24</v>
      </c>
      <c r="D253" s="9" t="s">
        <v>25</v>
      </c>
      <c r="E253" t="s">
        <v>20</v>
      </c>
      <c r="F253" s="2">
        <v>45879</v>
      </c>
      <c r="G253" s="3">
        <v>8</v>
      </c>
      <c r="H253" s="2">
        <v>45899</v>
      </c>
      <c r="I253" s="2">
        <v>45898</v>
      </c>
      <c r="J253" s="3">
        <f>COUNTIFS('OOS Events'!$C:$C,B253,'OOS Events'!$D:$D,C253,'OOS Events'!$E:$E,"&gt;="&amp;D253-90,'OOS Events'!$E:$E,"&lt;"&amp;D253)</f>
        <v>0</v>
      </c>
      <c r="K253" s="3">
        <f>COUNTIF('OOS Events'!$B:$B,A253)</f>
        <v>0</v>
      </c>
      <c r="L253" s="3">
        <v>0</v>
      </c>
      <c r="M253" s="3">
        <v>8</v>
      </c>
      <c r="N253" t="s">
        <v>21</v>
      </c>
    </row>
    <row r="254" spans="1:14" ht="15" customHeight="1">
      <c r="A254" t="s">
        <v>329</v>
      </c>
      <c r="B254" t="s">
        <v>29</v>
      </c>
      <c r="C254" s="8" t="s">
        <v>24</v>
      </c>
      <c r="D254" s="9" t="s">
        <v>25</v>
      </c>
      <c r="E254" t="s">
        <v>60</v>
      </c>
      <c r="F254" s="2">
        <v>45879</v>
      </c>
      <c r="G254" s="3">
        <v>25</v>
      </c>
      <c r="H254" s="2">
        <v>45921</v>
      </c>
      <c r="I254" s="4">
        <v>45923</v>
      </c>
      <c r="J254" s="3">
        <f>COUNTIFS('OOS Events'!$C:$C,B254,'OOS Events'!$D:$D,C254,'OOS Events'!$E:$E,"&gt;="&amp;D254-90,'OOS Events'!$E:$E,"&lt;"&amp;D254)</f>
        <v>0</v>
      </c>
      <c r="K254" s="3">
        <f>COUNTIF('OOS Events'!$B:$B,A254)</f>
        <v>0</v>
      </c>
      <c r="L254" s="3">
        <v>2</v>
      </c>
      <c r="M254" s="3">
        <v>37</v>
      </c>
      <c r="N254" t="s">
        <v>27</v>
      </c>
    </row>
    <row r="255" spans="1:14" ht="15" customHeight="1">
      <c r="A255" t="s">
        <v>330</v>
      </c>
      <c r="B255" t="s">
        <v>32</v>
      </c>
      <c r="C255" s="8" t="s">
        <v>33</v>
      </c>
      <c r="D255" s="9" t="s">
        <v>19</v>
      </c>
      <c r="E255" t="s">
        <v>34</v>
      </c>
      <c r="F255" s="2">
        <v>45880</v>
      </c>
      <c r="G255" s="3">
        <v>14</v>
      </c>
      <c r="H255" s="2">
        <v>45898</v>
      </c>
      <c r="I255" s="2">
        <v>45898</v>
      </c>
      <c r="J255" s="3">
        <f>COUNTIFS('OOS Events'!$C:$C,B255,'OOS Events'!$D:$D,C255,'OOS Events'!$E:$E,"&gt;="&amp;D255-90,'OOS Events'!$E:$E,"&lt;"&amp;D255)</f>
        <v>0</v>
      </c>
      <c r="K255" s="3">
        <f>COUNTIF('OOS Events'!$B:$B,A255)</f>
        <v>0</v>
      </c>
      <c r="L255" s="3">
        <v>2</v>
      </c>
      <c r="M255" s="3">
        <v>21</v>
      </c>
      <c r="N255" t="s">
        <v>40</v>
      </c>
    </row>
    <row r="256" spans="1:14" ht="15" customHeight="1">
      <c r="A256" t="s">
        <v>331</v>
      </c>
      <c r="B256" t="s">
        <v>97</v>
      </c>
      <c r="C256" s="8" t="s">
        <v>18</v>
      </c>
      <c r="D256" s="9" t="s">
        <v>19</v>
      </c>
      <c r="E256" t="s">
        <v>30</v>
      </c>
      <c r="F256" s="2">
        <v>45881</v>
      </c>
      <c r="G256" s="3">
        <v>16</v>
      </c>
      <c r="H256" s="2">
        <v>45908</v>
      </c>
      <c r="I256" s="4">
        <v>45911</v>
      </c>
      <c r="J256" s="3">
        <f>COUNTIFS('OOS Events'!$C:$C,B256,'OOS Events'!$D:$D,C256,'OOS Events'!$E:$E,"&gt;="&amp;D256-90,'OOS Events'!$E:$E,"&lt;"&amp;D256)</f>
        <v>0</v>
      </c>
      <c r="K256" s="3">
        <f>COUNTIF('OOS Events'!$B:$B,A256)</f>
        <v>1</v>
      </c>
      <c r="L256" s="3">
        <v>0</v>
      </c>
      <c r="M256" s="3">
        <v>13</v>
      </c>
      <c r="N256" t="s">
        <v>44</v>
      </c>
    </row>
    <row r="257" spans="1:14" ht="15" customHeight="1">
      <c r="A257" t="s">
        <v>332</v>
      </c>
      <c r="B257" t="s">
        <v>37</v>
      </c>
      <c r="C257" s="8" t="s">
        <v>38</v>
      </c>
      <c r="D257" s="9" t="s">
        <v>39</v>
      </c>
      <c r="E257" t="s">
        <v>26</v>
      </c>
      <c r="F257" s="2">
        <v>45883</v>
      </c>
      <c r="G257" s="3">
        <v>20</v>
      </c>
      <c r="H257" s="2">
        <v>45909</v>
      </c>
      <c r="I257" s="4">
        <v>45911</v>
      </c>
      <c r="J257" s="3">
        <f>COUNTIFS('OOS Events'!$C:$C,B257,'OOS Events'!$D:$D,C257,'OOS Events'!$E:$E,"&gt;="&amp;D257-90,'OOS Events'!$E:$E,"&lt;"&amp;D257)</f>
        <v>0</v>
      </c>
      <c r="K257" s="3">
        <f>COUNTIF('OOS Events'!$B:$B,A257)</f>
        <v>0</v>
      </c>
      <c r="L257" s="3">
        <v>1</v>
      </c>
      <c r="M257" s="3">
        <v>23</v>
      </c>
      <c r="N257" t="s">
        <v>47</v>
      </c>
    </row>
    <row r="258" spans="1:14" ht="15" customHeight="1">
      <c r="A258" t="s">
        <v>333</v>
      </c>
      <c r="B258" t="s">
        <v>46</v>
      </c>
      <c r="C258" s="8" t="s">
        <v>24</v>
      </c>
      <c r="D258" s="9" t="s">
        <v>25</v>
      </c>
      <c r="E258" t="s">
        <v>34</v>
      </c>
      <c r="F258" s="2">
        <v>45883</v>
      </c>
      <c r="G258" s="3">
        <v>17</v>
      </c>
      <c r="H258" s="2">
        <v>45911</v>
      </c>
      <c r="I258" s="4">
        <v>45913</v>
      </c>
      <c r="J258" s="3">
        <f>COUNTIFS('OOS Events'!$C:$C,B258,'OOS Events'!$D:$D,C258,'OOS Events'!$E:$E,"&gt;="&amp;D258-90,'OOS Events'!$E:$E,"&lt;"&amp;D258)</f>
        <v>0</v>
      </c>
      <c r="K258" s="3">
        <f>COUNTIF('OOS Events'!$B:$B,A258)</f>
        <v>0</v>
      </c>
      <c r="L258" s="3">
        <v>0</v>
      </c>
      <c r="M258" s="3">
        <v>16</v>
      </c>
      <c r="N258" t="s">
        <v>44</v>
      </c>
    </row>
    <row r="259" spans="1:14" ht="15" customHeight="1">
      <c r="A259" t="s">
        <v>334</v>
      </c>
      <c r="B259" t="s">
        <v>49</v>
      </c>
      <c r="C259" s="8" t="s">
        <v>33</v>
      </c>
      <c r="D259" s="9" t="s">
        <v>19</v>
      </c>
      <c r="E259" t="s">
        <v>26</v>
      </c>
      <c r="F259" s="2">
        <v>45884</v>
      </c>
      <c r="G259" s="3">
        <v>18</v>
      </c>
      <c r="H259" s="2">
        <v>45921</v>
      </c>
      <c r="I259" s="2">
        <v>45921</v>
      </c>
      <c r="J259" s="3">
        <f>COUNTIFS('OOS Events'!$C:$C,B259,'OOS Events'!$D:$D,C259,'OOS Events'!$E:$E,"&gt;="&amp;D259-90,'OOS Events'!$E:$E,"&lt;"&amp;D259)</f>
        <v>0</v>
      </c>
      <c r="K259" s="3">
        <f>COUNTIF('OOS Events'!$B:$B,A259)</f>
        <v>0</v>
      </c>
      <c r="L259" s="3">
        <v>3</v>
      </c>
      <c r="M259" s="3">
        <v>39</v>
      </c>
      <c r="N259" t="s">
        <v>27</v>
      </c>
    </row>
    <row r="260" spans="1:14" ht="15" customHeight="1">
      <c r="A260" t="s">
        <v>335</v>
      </c>
      <c r="B260" t="s">
        <v>130</v>
      </c>
      <c r="C260" s="8" t="s">
        <v>71</v>
      </c>
      <c r="D260" s="9" t="s">
        <v>72</v>
      </c>
      <c r="E260" t="s">
        <v>20</v>
      </c>
      <c r="F260" s="2">
        <v>45885</v>
      </c>
      <c r="G260" s="3">
        <v>14</v>
      </c>
      <c r="H260" s="2">
        <v>45910</v>
      </c>
      <c r="I260" s="2">
        <v>45910</v>
      </c>
      <c r="J260" s="3">
        <f>COUNTIFS('OOS Events'!$C:$C,B260,'OOS Events'!$D:$D,C260,'OOS Events'!$E:$E,"&gt;="&amp;D260-90,'OOS Events'!$E:$E,"&lt;"&amp;D260)</f>
        <v>0</v>
      </c>
      <c r="K260" s="3">
        <f>COUNTIF('OOS Events'!$B:$B,A260)</f>
        <v>0</v>
      </c>
      <c r="L260" s="3">
        <v>1</v>
      </c>
      <c r="M260" s="3">
        <v>30</v>
      </c>
      <c r="N260" t="s">
        <v>40</v>
      </c>
    </row>
    <row r="261" spans="1:14" ht="15" customHeight="1">
      <c r="A261" t="s">
        <v>336</v>
      </c>
      <c r="B261" t="s">
        <v>51</v>
      </c>
      <c r="C261" s="8" t="s">
        <v>38</v>
      </c>
      <c r="D261" s="9" t="s">
        <v>39</v>
      </c>
      <c r="E261" t="s">
        <v>34</v>
      </c>
      <c r="F261" s="2">
        <v>45887</v>
      </c>
      <c r="G261" s="3">
        <v>23</v>
      </c>
      <c r="H261" s="2">
        <v>45924</v>
      </c>
      <c r="I261" s="4">
        <v>45927</v>
      </c>
      <c r="J261" s="3">
        <f>COUNTIFS('OOS Events'!$C:$C,B261,'OOS Events'!$D:$D,C261,'OOS Events'!$E:$E,"&gt;="&amp;D261-90,'OOS Events'!$E:$E,"&lt;"&amp;D261)</f>
        <v>0</v>
      </c>
      <c r="K261" s="3">
        <f>COUNTIF('OOS Events'!$B:$B,A261)</f>
        <v>0</v>
      </c>
      <c r="L261" s="3">
        <v>0</v>
      </c>
      <c r="M261" s="3">
        <v>41</v>
      </c>
      <c r="N261" t="s">
        <v>35</v>
      </c>
    </row>
    <row r="262" spans="1:14" ht="15" customHeight="1">
      <c r="A262" t="s">
        <v>337</v>
      </c>
      <c r="B262" t="s">
        <v>55</v>
      </c>
      <c r="C262" s="8" t="s">
        <v>33</v>
      </c>
      <c r="D262" s="9" t="s">
        <v>19</v>
      </c>
      <c r="E262" t="s">
        <v>30</v>
      </c>
      <c r="F262" s="2">
        <v>45887</v>
      </c>
      <c r="G262" s="3">
        <v>23</v>
      </c>
      <c r="H262" s="2">
        <v>45912</v>
      </c>
      <c r="I262" s="2">
        <v>45912</v>
      </c>
      <c r="J262" s="3">
        <f>COUNTIFS('OOS Events'!$C:$C,B262,'OOS Events'!$D:$D,C262,'OOS Events'!$E:$E,"&gt;="&amp;D262-90,'OOS Events'!$E:$E,"&lt;"&amp;D262)</f>
        <v>0</v>
      </c>
      <c r="K262" s="3">
        <f>COUNTIF('OOS Events'!$B:$B,A262)</f>
        <v>1</v>
      </c>
      <c r="L262" s="3">
        <v>0</v>
      </c>
      <c r="M262" s="3">
        <v>18</v>
      </c>
      <c r="N262" t="s">
        <v>40</v>
      </c>
    </row>
    <row r="263" spans="1:14" ht="15" customHeight="1">
      <c r="A263" t="s">
        <v>338</v>
      </c>
      <c r="B263" t="s">
        <v>57</v>
      </c>
      <c r="C263" s="8" t="s">
        <v>24</v>
      </c>
      <c r="D263" s="9" t="s">
        <v>25</v>
      </c>
      <c r="E263" t="s">
        <v>20</v>
      </c>
      <c r="F263" s="2">
        <v>45888</v>
      </c>
      <c r="G263" s="3">
        <v>18</v>
      </c>
      <c r="H263" s="2">
        <v>45915</v>
      </c>
      <c r="I263" s="2">
        <v>45914</v>
      </c>
      <c r="J263" s="3">
        <f>COUNTIFS('OOS Events'!$C:$C,B263,'OOS Events'!$D:$D,C263,'OOS Events'!$E:$E,"&gt;="&amp;D263-90,'OOS Events'!$E:$E,"&lt;"&amp;D263)</f>
        <v>0</v>
      </c>
      <c r="K263" s="3">
        <f>COUNTIF('OOS Events'!$B:$B,A263)</f>
        <v>0</v>
      </c>
      <c r="L263" s="3">
        <v>0</v>
      </c>
      <c r="M263" s="3">
        <v>26</v>
      </c>
      <c r="N263" t="s">
        <v>44</v>
      </c>
    </row>
    <row r="264" spans="1:14" ht="15" customHeight="1">
      <c r="A264" t="s">
        <v>339</v>
      </c>
      <c r="B264" t="s">
        <v>163</v>
      </c>
      <c r="C264" s="8" t="s">
        <v>71</v>
      </c>
      <c r="D264" s="9" t="s">
        <v>72</v>
      </c>
      <c r="E264" t="s">
        <v>26</v>
      </c>
      <c r="F264" s="2">
        <v>45889</v>
      </c>
      <c r="G264" s="3">
        <v>21</v>
      </c>
      <c r="H264" s="2">
        <v>45925</v>
      </c>
      <c r="I264" s="4">
        <v>45926</v>
      </c>
      <c r="J264" s="3">
        <f>COUNTIFS('OOS Events'!$C:$C,B264,'OOS Events'!$D:$D,C264,'OOS Events'!$E:$E,"&gt;="&amp;D264-90,'OOS Events'!$E:$E,"&lt;"&amp;D264)</f>
        <v>0</v>
      </c>
      <c r="K264" s="3">
        <f>COUNTIF('OOS Events'!$B:$B,A264)</f>
        <v>0</v>
      </c>
      <c r="L264" s="3">
        <v>1</v>
      </c>
      <c r="M264" s="3">
        <v>38</v>
      </c>
      <c r="N264" t="s">
        <v>27</v>
      </c>
    </row>
    <row r="265" spans="1:14" ht="15" customHeight="1">
      <c r="A265" t="s">
        <v>340</v>
      </c>
      <c r="B265" t="s">
        <v>64</v>
      </c>
      <c r="C265" s="8" t="s">
        <v>24</v>
      </c>
      <c r="D265" s="9" t="s">
        <v>25</v>
      </c>
      <c r="E265" t="s">
        <v>20</v>
      </c>
      <c r="F265" s="2">
        <v>45891</v>
      </c>
      <c r="G265" s="3">
        <v>21</v>
      </c>
      <c r="H265" s="2">
        <v>45931</v>
      </c>
      <c r="I265" s="2">
        <v>45931</v>
      </c>
      <c r="J265" s="3">
        <f>COUNTIFS('OOS Events'!$C:$C,B265,'OOS Events'!$D:$D,C265,'OOS Events'!$E:$E,"&gt;="&amp;D265-90,'OOS Events'!$E:$E,"&lt;"&amp;D265)</f>
        <v>0</v>
      </c>
      <c r="K265" s="3">
        <f>COUNTIF('OOS Events'!$B:$B,A265)</f>
        <v>0</v>
      </c>
      <c r="L265" s="3">
        <v>0</v>
      </c>
      <c r="M265" s="3">
        <v>20</v>
      </c>
      <c r="N265" t="s">
        <v>27</v>
      </c>
    </row>
    <row r="266" spans="1:14" ht="15" customHeight="1">
      <c r="A266" t="s">
        <v>341</v>
      </c>
      <c r="B266" t="s">
        <v>109</v>
      </c>
      <c r="C266" s="8" t="s">
        <v>24</v>
      </c>
      <c r="D266" s="9" t="s">
        <v>25</v>
      </c>
      <c r="E266" t="s">
        <v>26</v>
      </c>
      <c r="F266" s="2">
        <v>45892</v>
      </c>
      <c r="G266" s="3">
        <v>18</v>
      </c>
      <c r="H266" s="2">
        <v>45915</v>
      </c>
      <c r="I266" s="2">
        <v>45915</v>
      </c>
      <c r="J266" s="3">
        <f>COUNTIFS('OOS Events'!$C:$C,B266,'OOS Events'!$D:$D,C266,'OOS Events'!$E:$E,"&gt;="&amp;D266-90,'OOS Events'!$E:$E,"&lt;"&amp;D266)</f>
        <v>0</v>
      </c>
      <c r="K266" s="3">
        <f>COUNTIF('OOS Events'!$B:$B,A266)</f>
        <v>1</v>
      </c>
      <c r="L266" s="3">
        <v>0</v>
      </c>
      <c r="M266" s="3">
        <v>29</v>
      </c>
      <c r="N266" t="s">
        <v>40</v>
      </c>
    </row>
    <row r="267" spans="1:14" ht="15" customHeight="1">
      <c r="A267" t="s">
        <v>342</v>
      </c>
      <c r="B267" t="s">
        <v>196</v>
      </c>
      <c r="C267" s="8" t="s">
        <v>71</v>
      </c>
      <c r="D267" s="9" t="s">
        <v>72</v>
      </c>
      <c r="E267" t="s">
        <v>34</v>
      </c>
      <c r="F267" s="2">
        <v>45893</v>
      </c>
      <c r="G267" s="3">
        <v>13</v>
      </c>
      <c r="H267" s="2">
        <v>45920</v>
      </c>
      <c r="I267" s="4">
        <v>45922</v>
      </c>
      <c r="J267" s="3">
        <f>COUNTIFS('OOS Events'!$C:$C,B267,'OOS Events'!$D:$D,C267,'OOS Events'!$E:$E,"&gt;="&amp;D267-90,'OOS Events'!$E:$E,"&lt;"&amp;D267)</f>
        <v>0</v>
      </c>
      <c r="K267" s="3">
        <f>COUNTIF('OOS Events'!$B:$B,A267)</f>
        <v>0</v>
      </c>
      <c r="L267" s="3">
        <v>0</v>
      </c>
      <c r="M267" s="3">
        <v>20</v>
      </c>
      <c r="N267" t="s">
        <v>44</v>
      </c>
    </row>
    <row r="268" spans="1:14" ht="15" customHeight="1">
      <c r="A268" t="s">
        <v>343</v>
      </c>
      <c r="B268" t="s">
        <v>70</v>
      </c>
      <c r="C268" s="8" t="s">
        <v>71</v>
      </c>
      <c r="D268" s="9" t="s">
        <v>72</v>
      </c>
      <c r="E268" t="s">
        <v>60</v>
      </c>
      <c r="F268" s="2">
        <v>45895</v>
      </c>
      <c r="G268" s="3">
        <v>22</v>
      </c>
      <c r="H268" s="2">
        <v>45924</v>
      </c>
      <c r="I268" s="2">
        <v>45924</v>
      </c>
      <c r="J268" s="3">
        <f>COUNTIFS('OOS Events'!$C:$C,B268,'OOS Events'!$D:$D,C268,'OOS Events'!$E:$E,"&gt;="&amp;D268-90,'OOS Events'!$E:$E,"&lt;"&amp;D268)</f>
        <v>0</v>
      </c>
      <c r="K268" s="3">
        <f>COUNTIF('OOS Events'!$B:$B,A268)</f>
        <v>0</v>
      </c>
      <c r="L268" s="3">
        <v>1</v>
      </c>
      <c r="M268" s="3">
        <v>23</v>
      </c>
      <c r="N268" t="s">
        <v>44</v>
      </c>
    </row>
    <row r="269" spans="1:14" ht="15" customHeight="1">
      <c r="A269" t="s">
        <v>344</v>
      </c>
      <c r="B269" t="s">
        <v>142</v>
      </c>
      <c r="C269" s="8" t="s">
        <v>71</v>
      </c>
      <c r="D269" s="9" t="s">
        <v>72</v>
      </c>
      <c r="E269" t="s">
        <v>43</v>
      </c>
      <c r="F269" s="2">
        <v>45896</v>
      </c>
      <c r="G269" s="3">
        <v>21</v>
      </c>
      <c r="H269" s="2">
        <v>45936</v>
      </c>
      <c r="I269" s="4">
        <v>45938</v>
      </c>
      <c r="J269" s="3">
        <f>COUNTIFS('OOS Events'!$C:$C,B269,'OOS Events'!$D:$D,C269,'OOS Events'!$E:$E,"&gt;="&amp;D269-90,'OOS Events'!$E:$E,"&lt;"&amp;D269)</f>
        <v>0</v>
      </c>
      <c r="K269" s="3">
        <f>COUNTIF('OOS Events'!$B:$B,A269)</f>
        <v>0</v>
      </c>
      <c r="L269" s="3">
        <v>0</v>
      </c>
      <c r="M269" s="3">
        <v>21</v>
      </c>
      <c r="N269" t="s">
        <v>27</v>
      </c>
    </row>
    <row r="270" spans="1:14" ht="15" customHeight="1">
      <c r="A270" t="s">
        <v>345</v>
      </c>
      <c r="B270" t="s">
        <v>229</v>
      </c>
      <c r="C270" s="8" t="s">
        <v>33</v>
      </c>
      <c r="D270" s="9" t="s">
        <v>19</v>
      </c>
      <c r="E270" t="s">
        <v>60</v>
      </c>
      <c r="F270" s="2">
        <v>45897</v>
      </c>
      <c r="G270" s="3">
        <v>24</v>
      </c>
      <c r="H270" s="2">
        <v>45915</v>
      </c>
      <c r="I270" s="2">
        <v>45915</v>
      </c>
      <c r="J270" s="3">
        <f>COUNTIFS('OOS Events'!$C:$C,B270,'OOS Events'!$D:$D,C270,'OOS Events'!$E:$E,"&gt;="&amp;D270-90,'OOS Events'!$E:$E,"&lt;"&amp;D270)</f>
        <v>0</v>
      </c>
      <c r="K270" s="3">
        <f>COUNTIF('OOS Events'!$B:$B,A270)</f>
        <v>1</v>
      </c>
      <c r="L270" s="3">
        <v>3</v>
      </c>
      <c r="M270" s="3">
        <v>34</v>
      </c>
      <c r="N270" t="s">
        <v>40</v>
      </c>
    </row>
    <row r="271" spans="1:14" ht="15" customHeight="1">
      <c r="A271" t="s">
        <v>346</v>
      </c>
      <c r="B271" t="s">
        <v>174</v>
      </c>
      <c r="C271" s="8" t="s">
        <v>71</v>
      </c>
      <c r="D271" s="9" t="s">
        <v>72</v>
      </c>
      <c r="E271" t="s">
        <v>60</v>
      </c>
      <c r="F271" s="2">
        <v>45900</v>
      </c>
      <c r="G271" s="3">
        <v>24</v>
      </c>
      <c r="H271" s="2">
        <v>45925</v>
      </c>
      <c r="I271" s="2">
        <v>45925</v>
      </c>
      <c r="J271" s="3">
        <f>COUNTIFS('OOS Events'!$C:$C,B271,'OOS Events'!$D:$D,C271,'OOS Events'!$E:$E,"&gt;="&amp;D271-90,'OOS Events'!$E:$E,"&lt;"&amp;D271)</f>
        <v>0</v>
      </c>
      <c r="K271" s="3">
        <f>COUNTIF('OOS Events'!$B:$B,A271)</f>
        <v>1</v>
      </c>
      <c r="L271" s="3">
        <v>0</v>
      </c>
      <c r="M271" s="3">
        <v>13</v>
      </c>
      <c r="N271" t="s">
        <v>44</v>
      </c>
    </row>
    <row r="272" spans="1:14" ht="15" customHeight="1">
      <c r="A272" t="s">
        <v>347</v>
      </c>
      <c r="B272" t="s">
        <v>263</v>
      </c>
      <c r="C272" s="8" t="s">
        <v>33</v>
      </c>
      <c r="D272" s="9" t="s">
        <v>19</v>
      </c>
      <c r="E272" t="s">
        <v>34</v>
      </c>
      <c r="F272" s="2">
        <v>45901</v>
      </c>
      <c r="G272" s="3">
        <v>12</v>
      </c>
      <c r="H272" s="2">
        <v>45937</v>
      </c>
      <c r="I272" s="4">
        <v>45940</v>
      </c>
      <c r="J272" s="3">
        <f>COUNTIFS('OOS Events'!$C:$C,B272,'OOS Events'!$D:$D,C272,'OOS Events'!$E:$E,"&gt;="&amp;D272-90,'OOS Events'!$E:$E,"&lt;"&amp;D272)</f>
        <v>0</v>
      </c>
      <c r="K272" s="3">
        <f>COUNTIF('OOS Events'!$B:$B,A272)</f>
        <v>0</v>
      </c>
      <c r="L272" s="3">
        <v>0</v>
      </c>
      <c r="M272" s="3">
        <v>45</v>
      </c>
      <c r="N272" t="s">
        <v>27</v>
      </c>
    </row>
    <row r="273" spans="1:14" ht="15" customHeight="1">
      <c r="A273" t="s">
        <v>348</v>
      </c>
      <c r="B273" t="s">
        <v>206</v>
      </c>
      <c r="C273" s="8" t="s">
        <v>71</v>
      </c>
      <c r="D273" s="9" t="s">
        <v>72</v>
      </c>
      <c r="E273" t="s">
        <v>20</v>
      </c>
      <c r="F273" s="2">
        <v>45904</v>
      </c>
      <c r="G273" s="3">
        <v>20</v>
      </c>
      <c r="H273" s="2">
        <v>45930</v>
      </c>
      <c r="I273" s="4">
        <v>45931</v>
      </c>
      <c r="J273" s="3">
        <f>COUNTIFS('OOS Events'!$C:$C,B273,'OOS Events'!$D:$D,C273,'OOS Events'!$E:$E,"&gt;="&amp;D273-90,'OOS Events'!$E:$E,"&lt;"&amp;D273)</f>
        <v>0</v>
      </c>
      <c r="K273" s="3">
        <f>COUNTIF('OOS Events'!$B:$B,A273)</f>
        <v>0</v>
      </c>
      <c r="L273" s="3">
        <v>2</v>
      </c>
      <c r="M273" s="3">
        <v>22</v>
      </c>
      <c r="N273" t="s">
        <v>40</v>
      </c>
    </row>
    <row r="274" spans="1:14" ht="15" customHeight="1">
      <c r="A274" t="s">
        <v>349</v>
      </c>
      <c r="B274" t="s">
        <v>295</v>
      </c>
      <c r="C274" s="8" t="s">
        <v>33</v>
      </c>
      <c r="D274" s="9" t="s">
        <v>19</v>
      </c>
      <c r="E274" t="s">
        <v>30</v>
      </c>
      <c r="F274" s="2">
        <v>45905</v>
      </c>
      <c r="G274" s="3">
        <v>14</v>
      </c>
      <c r="H274" s="2">
        <v>45926</v>
      </c>
      <c r="I274" s="2">
        <v>45926</v>
      </c>
      <c r="J274" s="3">
        <f>COUNTIFS('OOS Events'!$C:$C,B274,'OOS Events'!$D:$D,C274,'OOS Events'!$E:$E,"&gt;="&amp;D274-90,'OOS Events'!$E:$E,"&lt;"&amp;D274)</f>
        <v>0</v>
      </c>
      <c r="K274" s="3">
        <f>COUNTIF('OOS Events'!$B:$B,A274)</f>
        <v>2</v>
      </c>
      <c r="L274" s="3">
        <v>0</v>
      </c>
      <c r="M274" s="3">
        <v>19</v>
      </c>
      <c r="N274" t="s">
        <v>44</v>
      </c>
    </row>
    <row r="275" spans="1:14" ht="15" customHeight="1">
      <c r="A275" t="s">
        <v>350</v>
      </c>
      <c r="B275" t="s">
        <v>85</v>
      </c>
      <c r="C275" s="8" t="s">
        <v>71</v>
      </c>
      <c r="D275" s="9" t="s">
        <v>72</v>
      </c>
      <c r="E275" t="s">
        <v>43</v>
      </c>
      <c r="F275" s="2">
        <v>45905</v>
      </c>
      <c r="G275" s="3">
        <v>22</v>
      </c>
      <c r="H275" s="2">
        <v>45931</v>
      </c>
      <c r="I275" s="4">
        <v>45939</v>
      </c>
      <c r="J275" s="3">
        <f>COUNTIFS('OOS Events'!$C:$C,B275,'OOS Events'!$D:$D,C275,'OOS Events'!$E:$E,"&gt;="&amp;D275-90,'OOS Events'!$E:$E,"&lt;"&amp;D275)</f>
        <v>0</v>
      </c>
      <c r="K275" s="3">
        <f>COUNTIF('OOS Events'!$B:$B,A275)</f>
        <v>0</v>
      </c>
      <c r="L275" s="3">
        <v>0</v>
      </c>
      <c r="M275" s="3">
        <v>28</v>
      </c>
      <c r="N275" t="s">
        <v>47</v>
      </c>
    </row>
    <row r="276" spans="1:14" ht="15" customHeight="1">
      <c r="A276" t="s">
        <v>351</v>
      </c>
      <c r="B276" t="s">
        <v>238</v>
      </c>
      <c r="C276" s="8" t="s">
        <v>239</v>
      </c>
      <c r="D276" s="9" t="s">
        <v>240</v>
      </c>
      <c r="E276" t="s">
        <v>30</v>
      </c>
      <c r="F276" s="2">
        <v>45908</v>
      </c>
      <c r="G276" s="3">
        <v>16</v>
      </c>
      <c r="H276" s="2">
        <v>45944</v>
      </c>
      <c r="I276" s="4">
        <v>45945</v>
      </c>
      <c r="J276" s="3">
        <f>COUNTIFS('OOS Events'!$C:$C,B276,'OOS Events'!$D:$D,C276,'OOS Events'!$E:$E,"&gt;="&amp;D276-90,'OOS Events'!$E:$E,"&lt;"&amp;D276)</f>
        <v>0</v>
      </c>
      <c r="K276" s="3">
        <f>COUNTIF('OOS Events'!$B:$B,A276)</f>
        <v>0</v>
      </c>
      <c r="L276" s="3">
        <v>0</v>
      </c>
      <c r="M276" s="3">
        <v>25</v>
      </c>
      <c r="N276" t="s">
        <v>27</v>
      </c>
    </row>
    <row r="277" spans="1:14" ht="15" customHeight="1">
      <c r="A277" t="s">
        <v>352</v>
      </c>
      <c r="B277" t="s">
        <v>87</v>
      </c>
      <c r="C277" s="8" t="s">
        <v>71</v>
      </c>
      <c r="D277" s="9" t="s">
        <v>72</v>
      </c>
      <c r="E277" t="s">
        <v>20</v>
      </c>
      <c r="F277" s="2">
        <v>45909</v>
      </c>
      <c r="G277" s="3">
        <v>15</v>
      </c>
      <c r="H277" s="2">
        <v>45929</v>
      </c>
      <c r="I277" s="4">
        <v>45932</v>
      </c>
      <c r="J277" s="3">
        <f>COUNTIFS('OOS Events'!$C:$C,B277,'OOS Events'!$D:$D,C277,'OOS Events'!$E:$E,"&gt;="&amp;D277-90,'OOS Events'!$E:$E,"&lt;"&amp;D277)</f>
        <v>0</v>
      </c>
      <c r="K277" s="3">
        <f>COUNTIF('OOS Events'!$B:$B,A277)</f>
        <v>1</v>
      </c>
      <c r="L277" s="3">
        <v>0</v>
      </c>
      <c r="M277" s="3">
        <v>19</v>
      </c>
      <c r="N277" t="s">
        <v>40</v>
      </c>
    </row>
    <row r="278" spans="1:14" ht="15" customHeight="1">
      <c r="A278" t="s">
        <v>353</v>
      </c>
      <c r="B278" t="s">
        <v>91</v>
      </c>
      <c r="C278" s="8" t="s">
        <v>24</v>
      </c>
      <c r="D278" s="9" t="s">
        <v>25</v>
      </c>
      <c r="E278" t="s">
        <v>60</v>
      </c>
      <c r="F278" s="2">
        <v>45909</v>
      </c>
      <c r="G278" s="3">
        <v>23</v>
      </c>
      <c r="H278" s="2">
        <v>45941</v>
      </c>
      <c r="I278" s="2">
        <v>45941</v>
      </c>
      <c r="J278" s="3">
        <f>COUNTIFS('OOS Events'!$C:$C,B278,'OOS Events'!$D:$D,C278,'OOS Events'!$E:$E,"&gt;="&amp;D278-90,'OOS Events'!$E:$E,"&lt;"&amp;D278)</f>
        <v>0</v>
      </c>
      <c r="K278" s="3">
        <f>COUNTIF('OOS Events'!$B:$B,A278)</f>
        <v>0</v>
      </c>
      <c r="L278" s="3">
        <v>0</v>
      </c>
      <c r="M278" s="3">
        <v>36</v>
      </c>
      <c r="N278" t="s">
        <v>35</v>
      </c>
    </row>
    <row r="279" spans="1:14" ht="15" customHeight="1">
      <c r="A279" t="s">
        <v>354</v>
      </c>
      <c r="B279" t="s">
        <v>17</v>
      </c>
      <c r="C279" s="8" t="s">
        <v>18</v>
      </c>
      <c r="D279" s="9" t="s">
        <v>19</v>
      </c>
      <c r="E279" t="s">
        <v>20</v>
      </c>
      <c r="F279" s="2">
        <v>45910</v>
      </c>
      <c r="G279" s="3">
        <v>16</v>
      </c>
      <c r="H279" s="2">
        <v>45940</v>
      </c>
      <c r="I279" s="4">
        <v>45941</v>
      </c>
      <c r="J279" s="3">
        <f>COUNTIFS('OOS Events'!$C:$C,B279,'OOS Events'!$D:$D,C279,'OOS Events'!$E:$E,"&gt;="&amp;D279-90,'OOS Events'!$E:$E,"&lt;"&amp;D279)</f>
        <v>0</v>
      </c>
      <c r="K279" s="3">
        <f>COUNTIF('OOS Events'!$B:$B,A279)</f>
        <v>0</v>
      </c>
      <c r="L279" s="3">
        <v>1</v>
      </c>
      <c r="M279" s="3">
        <v>20</v>
      </c>
      <c r="N279" t="s">
        <v>47</v>
      </c>
    </row>
    <row r="280" spans="1:14" ht="15" customHeight="1">
      <c r="A280" t="s">
        <v>355</v>
      </c>
      <c r="B280" t="s">
        <v>273</v>
      </c>
      <c r="C280" s="8" t="s">
        <v>24</v>
      </c>
      <c r="D280" s="9" t="s">
        <v>25</v>
      </c>
      <c r="E280" t="s">
        <v>20</v>
      </c>
      <c r="F280" s="2">
        <v>45912</v>
      </c>
      <c r="G280" s="3">
        <v>23</v>
      </c>
      <c r="H280" s="2">
        <v>45936</v>
      </c>
      <c r="I280" s="2">
        <v>45936</v>
      </c>
      <c r="J280" s="3">
        <f>COUNTIFS('OOS Events'!$C:$C,B280,'OOS Events'!$D:$D,C280,'OOS Events'!$E:$E,"&gt;="&amp;D280-90,'OOS Events'!$E:$E,"&lt;"&amp;D280)</f>
        <v>0</v>
      </c>
      <c r="K280" s="3">
        <f>COUNTIF('OOS Events'!$B:$B,A280)</f>
        <v>2</v>
      </c>
      <c r="L280" s="3">
        <v>0</v>
      </c>
      <c r="M280" s="3">
        <v>34</v>
      </c>
      <c r="N280" t="s">
        <v>44</v>
      </c>
    </row>
    <row r="281" spans="1:14" ht="15" customHeight="1">
      <c r="A281" t="s">
        <v>356</v>
      </c>
      <c r="B281" t="s">
        <v>23</v>
      </c>
      <c r="C281" s="8" t="s">
        <v>24</v>
      </c>
      <c r="D281" s="9" t="s">
        <v>25</v>
      </c>
      <c r="E281" t="s">
        <v>60</v>
      </c>
      <c r="F281" s="2">
        <v>45913</v>
      </c>
      <c r="G281" s="3">
        <v>27</v>
      </c>
      <c r="H281" s="2">
        <v>45949</v>
      </c>
      <c r="I281" s="4">
        <v>45950</v>
      </c>
      <c r="J281" s="3">
        <f>COUNTIFS('OOS Events'!$C:$C,B281,'OOS Events'!$D:$D,C281,'OOS Events'!$E:$E,"&gt;="&amp;D281-90,'OOS Events'!$E:$E,"&lt;"&amp;D281)</f>
        <v>0</v>
      </c>
      <c r="K281" s="3">
        <f>COUNTIF('OOS Events'!$B:$B,A281)</f>
        <v>2</v>
      </c>
      <c r="L281" s="3">
        <v>1</v>
      </c>
      <c r="M281" s="3">
        <v>20</v>
      </c>
      <c r="N281" t="s">
        <v>27</v>
      </c>
    </row>
    <row r="282" spans="1:14" ht="15" customHeight="1">
      <c r="A282" t="s">
        <v>357</v>
      </c>
      <c r="B282" t="s">
        <v>32</v>
      </c>
      <c r="C282" s="8" t="s">
        <v>33</v>
      </c>
      <c r="D282" s="9" t="s">
        <v>19</v>
      </c>
      <c r="E282" t="s">
        <v>34</v>
      </c>
      <c r="F282" s="2">
        <v>45913</v>
      </c>
      <c r="G282" s="3">
        <v>17</v>
      </c>
      <c r="H282" s="2">
        <v>45932</v>
      </c>
      <c r="I282" s="2">
        <v>45931</v>
      </c>
      <c r="J282" s="3">
        <f>COUNTIFS('OOS Events'!$C:$C,B282,'OOS Events'!$D:$D,C282,'OOS Events'!$E:$E,"&gt;="&amp;D282-90,'OOS Events'!$E:$E,"&lt;"&amp;D282)</f>
        <v>0</v>
      </c>
      <c r="K282" s="3">
        <f>COUNTIF('OOS Events'!$B:$B,A282)</f>
        <v>0</v>
      </c>
      <c r="L282" s="3">
        <v>0</v>
      </c>
      <c r="M282" s="3">
        <v>13</v>
      </c>
      <c r="N282" t="s">
        <v>21</v>
      </c>
    </row>
    <row r="283" spans="1:14" ht="15" customHeight="1">
      <c r="A283" t="s">
        <v>358</v>
      </c>
      <c r="B283" t="s">
        <v>97</v>
      </c>
      <c r="C283" s="8" t="s">
        <v>18</v>
      </c>
      <c r="D283" s="9" t="s">
        <v>19</v>
      </c>
      <c r="E283" t="s">
        <v>30</v>
      </c>
      <c r="F283" s="2">
        <v>45914</v>
      </c>
      <c r="G283" s="3">
        <v>14</v>
      </c>
      <c r="H283" s="2">
        <v>45951</v>
      </c>
      <c r="I283" s="4">
        <v>45953</v>
      </c>
      <c r="J283" s="3">
        <f>COUNTIFS('OOS Events'!$C:$C,B283,'OOS Events'!$D:$D,C283,'OOS Events'!$E:$E,"&gt;="&amp;D283-90,'OOS Events'!$E:$E,"&lt;"&amp;D283)</f>
        <v>0</v>
      </c>
      <c r="K283" s="3">
        <f>COUNTIF('OOS Events'!$B:$B,A283)</f>
        <v>1</v>
      </c>
      <c r="L283" s="3">
        <v>0</v>
      </c>
      <c r="M283" s="3">
        <v>34</v>
      </c>
      <c r="N283" t="s">
        <v>35</v>
      </c>
    </row>
    <row r="284" spans="1:14" ht="15" customHeight="1">
      <c r="A284" t="s">
        <v>359</v>
      </c>
      <c r="B284" t="s">
        <v>37</v>
      </c>
      <c r="C284" s="8" t="s">
        <v>38</v>
      </c>
      <c r="D284" s="9" t="s">
        <v>39</v>
      </c>
      <c r="E284" t="s">
        <v>26</v>
      </c>
      <c r="F284" s="2">
        <v>45916</v>
      </c>
      <c r="G284" s="3">
        <v>19</v>
      </c>
      <c r="H284" s="2">
        <v>45934</v>
      </c>
      <c r="I284" s="4">
        <v>45936</v>
      </c>
      <c r="J284" s="3">
        <f>COUNTIFS('OOS Events'!$C:$C,B284,'OOS Events'!$D:$D,C284,'OOS Events'!$E:$E,"&gt;="&amp;D284-90,'OOS Events'!$E:$E,"&lt;"&amp;D284)</f>
        <v>0</v>
      </c>
      <c r="K284" s="3">
        <f>COUNTIF('OOS Events'!$B:$B,A284)</f>
        <v>0</v>
      </c>
      <c r="L284" s="3">
        <v>0</v>
      </c>
      <c r="M284" s="3">
        <v>32</v>
      </c>
      <c r="N284" t="s">
        <v>40</v>
      </c>
    </row>
    <row r="285" spans="1:14" ht="15" customHeight="1">
      <c r="A285" t="s">
        <v>360</v>
      </c>
      <c r="B285" t="s">
        <v>46</v>
      </c>
      <c r="C285" s="8" t="s">
        <v>24</v>
      </c>
      <c r="D285" s="9" t="s">
        <v>25</v>
      </c>
      <c r="E285" t="s">
        <v>34</v>
      </c>
      <c r="F285" s="2">
        <v>45916</v>
      </c>
      <c r="G285" s="3">
        <v>10</v>
      </c>
      <c r="H285" s="2">
        <v>45952</v>
      </c>
      <c r="I285" s="4">
        <v>45953</v>
      </c>
      <c r="J285" s="3">
        <f>COUNTIFS('OOS Events'!$C:$C,B285,'OOS Events'!$D:$D,C285,'OOS Events'!$E:$E,"&gt;="&amp;D285-90,'OOS Events'!$E:$E,"&lt;"&amp;D285)</f>
        <v>0</v>
      </c>
      <c r="K285" s="3">
        <f>COUNTIF('OOS Events'!$B:$B,A285)</f>
        <v>0</v>
      </c>
      <c r="L285" s="3">
        <v>1</v>
      </c>
      <c r="M285" s="3">
        <v>46</v>
      </c>
      <c r="N285" t="s">
        <v>35</v>
      </c>
    </row>
    <row r="286" spans="1:14" ht="15" customHeight="1">
      <c r="A286" t="s">
        <v>361</v>
      </c>
      <c r="B286" t="s">
        <v>49</v>
      </c>
      <c r="C286" s="8" t="s">
        <v>33</v>
      </c>
      <c r="D286" s="9" t="s">
        <v>19</v>
      </c>
      <c r="E286" t="s">
        <v>30</v>
      </c>
      <c r="F286" s="2">
        <v>45917</v>
      </c>
      <c r="G286" s="3">
        <v>19</v>
      </c>
      <c r="H286" s="2">
        <v>45949</v>
      </c>
      <c r="I286" s="2">
        <v>45949</v>
      </c>
      <c r="J286" s="3">
        <f>COUNTIFS('OOS Events'!$C:$C,B286,'OOS Events'!$D:$D,C286,'OOS Events'!$E:$E,"&gt;="&amp;D286-90,'OOS Events'!$E:$E,"&lt;"&amp;D286)</f>
        <v>0</v>
      </c>
      <c r="K286" s="3">
        <f>COUNTIF('OOS Events'!$B:$B,A286)</f>
        <v>1</v>
      </c>
      <c r="L286" s="3">
        <v>0</v>
      </c>
      <c r="M286" s="3">
        <v>11</v>
      </c>
      <c r="N286" t="s">
        <v>47</v>
      </c>
    </row>
    <row r="287" spans="1:14" ht="15" customHeight="1">
      <c r="A287" t="s">
        <v>362</v>
      </c>
      <c r="B287" t="s">
        <v>130</v>
      </c>
      <c r="C287" s="8" t="s">
        <v>71</v>
      </c>
      <c r="D287" s="9" t="s">
        <v>72</v>
      </c>
      <c r="E287" t="s">
        <v>20</v>
      </c>
      <c r="F287" s="2">
        <v>45918</v>
      </c>
      <c r="G287" s="3">
        <v>21</v>
      </c>
      <c r="H287" s="2">
        <v>45931</v>
      </c>
      <c r="I287" s="4">
        <v>45932</v>
      </c>
      <c r="J287" s="3">
        <f>COUNTIFS('OOS Events'!$C:$C,B287,'OOS Events'!$D:$D,C287,'OOS Events'!$E:$E,"&gt;="&amp;D287-90,'OOS Events'!$E:$E,"&lt;"&amp;D287)</f>
        <v>0</v>
      </c>
      <c r="K287" s="3">
        <f>COUNTIF('OOS Events'!$B:$B,A287)</f>
        <v>0</v>
      </c>
      <c r="L287" s="3">
        <v>0</v>
      </c>
      <c r="M287" s="3">
        <v>34</v>
      </c>
      <c r="N287" t="s">
        <v>21</v>
      </c>
    </row>
    <row r="288" spans="1:14" ht="15" customHeight="1">
      <c r="A288" t="s">
        <v>363</v>
      </c>
      <c r="B288" t="s">
        <v>51</v>
      </c>
      <c r="C288" s="8" t="s">
        <v>38</v>
      </c>
      <c r="D288" s="9" t="s">
        <v>39</v>
      </c>
      <c r="E288" t="s">
        <v>43</v>
      </c>
      <c r="F288" s="2">
        <v>45920</v>
      </c>
      <c r="G288" s="3">
        <v>14</v>
      </c>
      <c r="H288" s="2">
        <v>45961</v>
      </c>
      <c r="I288" s="2">
        <v>45958</v>
      </c>
      <c r="J288" s="3">
        <f>COUNTIFS('OOS Events'!$C:$C,B288,'OOS Events'!$D:$D,C288,'OOS Events'!$E:$E,"&gt;="&amp;D288-90,'OOS Events'!$E:$E,"&lt;"&amp;D288)</f>
        <v>0</v>
      </c>
      <c r="K288" s="3">
        <f>COUNTIF('OOS Events'!$B:$B,A288)</f>
        <v>1</v>
      </c>
      <c r="L288" s="3">
        <v>1</v>
      </c>
      <c r="M288" s="3">
        <v>21</v>
      </c>
      <c r="N288" t="s">
        <v>27</v>
      </c>
    </row>
    <row r="289" spans="1:14" ht="15" customHeight="1">
      <c r="A289" t="s">
        <v>364</v>
      </c>
      <c r="B289" t="s">
        <v>55</v>
      </c>
      <c r="C289" s="8" t="s">
        <v>33</v>
      </c>
      <c r="D289" s="9" t="s">
        <v>19</v>
      </c>
      <c r="E289" t="s">
        <v>30</v>
      </c>
      <c r="F289" s="2">
        <v>45920</v>
      </c>
      <c r="G289" s="3">
        <v>17</v>
      </c>
      <c r="H289" s="2">
        <v>45939</v>
      </c>
      <c r="I289" s="4">
        <v>45942</v>
      </c>
      <c r="J289" s="3">
        <f>COUNTIFS('OOS Events'!$C:$C,B289,'OOS Events'!$D:$D,C289,'OOS Events'!$E:$E,"&gt;="&amp;D289-90,'OOS Events'!$E:$E,"&lt;"&amp;D289)</f>
        <v>0</v>
      </c>
      <c r="K289" s="3">
        <f>COUNTIF('OOS Events'!$B:$B,A289)</f>
        <v>2</v>
      </c>
      <c r="L289" s="3">
        <v>0</v>
      </c>
      <c r="M289" s="3">
        <v>24</v>
      </c>
      <c r="N289" t="s">
        <v>21</v>
      </c>
    </row>
    <row r="290" spans="1:14" ht="15" customHeight="1">
      <c r="A290" t="s">
        <v>365</v>
      </c>
      <c r="B290" t="s">
        <v>57</v>
      </c>
      <c r="C290" s="8" t="s">
        <v>24</v>
      </c>
      <c r="D290" s="9" t="s">
        <v>25</v>
      </c>
      <c r="E290" t="s">
        <v>43</v>
      </c>
      <c r="F290" s="2">
        <v>45921</v>
      </c>
      <c r="G290" s="3">
        <v>18</v>
      </c>
      <c r="H290" s="2">
        <v>45958</v>
      </c>
      <c r="I290" s="4">
        <v>45961</v>
      </c>
      <c r="J290" s="3">
        <f>COUNTIFS('OOS Events'!$C:$C,B290,'OOS Events'!$D:$D,C290,'OOS Events'!$E:$E,"&gt;="&amp;D290-90,'OOS Events'!$E:$E,"&lt;"&amp;D290)</f>
        <v>0</v>
      </c>
      <c r="K290" s="3">
        <f>COUNTIF('OOS Events'!$B:$B,A290)</f>
        <v>0</v>
      </c>
      <c r="L290" s="3">
        <v>0</v>
      </c>
      <c r="M290" s="3">
        <v>33</v>
      </c>
      <c r="N290" t="s">
        <v>35</v>
      </c>
    </row>
    <row r="291" spans="1:14" ht="15" customHeight="1">
      <c r="A291" t="s">
        <v>366</v>
      </c>
      <c r="B291" t="s">
        <v>163</v>
      </c>
      <c r="C291" s="8" t="s">
        <v>71</v>
      </c>
      <c r="D291" s="9" t="s">
        <v>72</v>
      </c>
      <c r="E291" t="s">
        <v>26</v>
      </c>
      <c r="F291" s="2">
        <v>45922</v>
      </c>
      <c r="G291" s="3">
        <v>14</v>
      </c>
      <c r="H291" s="2">
        <v>45948</v>
      </c>
      <c r="I291" s="4">
        <v>45950</v>
      </c>
      <c r="J291" s="3">
        <f>COUNTIFS('OOS Events'!$C:$C,B291,'OOS Events'!$D:$D,C291,'OOS Events'!$E:$E,"&gt;="&amp;D291-90,'OOS Events'!$E:$E,"&lt;"&amp;D291)</f>
        <v>0</v>
      </c>
      <c r="K291" s="3">
        <f>COUNTIF('OOS Events'!$B:$B,A291)</f>
        <v>0</v>
      </c>
      <c r="L291" s="3">
        <v>0</v>
      </c>
      <c r="M291" s="3">
        <v>21</v>
      </c>
      <c r="N291" t="s">
        <v>47</v>
      </c>
    </row>
    <row r="292" spans="1:14" ht="15" customHeight="1">
      <c r="A292" t="s">
        <v>367</v>
      </c>
      <c r="B292" t="s">
        <v>59</v>
      </c>
      <c r="C292" s="8" t="s">
        <v>24</v>
      </c>
      <c r="D292" s="9" t="s">
        <v>25</v>
      </c>
      <c r="E292" t="s">
        <v>30</v>
      </c>
      <c r="F292" s="2">
        <v>45924</v>
      </c>
      <c r="G292" s="3">
        <v>24</v>
      </c>
      <c r="H292" s="2">
        <v>45950</v>
      </c>
      <c r="I292" s="2">
        <v>45950</v>
      </c>
      <c r="J292" s="3">
        <f>COUNTIFS('OOS Events'!$C:$C,B292,'OOS Events'!$D:$D,C292,'OOS Events'!$E:$E,"&gt;="&amp;D292-90,'OOS Events'!$E:$E,"&lt;"&amp;D292)</f>
        <v>0</v>
      </c>
      <c r="K292" s="3">
        <f>COUNTIF('OOS Events'!$B:$B,A292)</f>
        <v>0</v>
      </c>
      <c r="L292" s="3">
        <v>0</v>
      </c>
      <c r="M292" s="3">
        <v>22</v>
      </c>
      <c r="N292" t="s">
        <v>44</v>
      </c>
    </row>
    <row r="293" spans="1:14" ht="15" customHeight="1">
      <c r="A293" t="s">
        <v>368</v>
      </c>
      <c r="B293" t="s">
        <v>64</v>
      </c>
      <c r="C293" s="8" t="s">
        <v>24</v>
      </c>
      <c r="D293" s="9" t="s">
        <v>25</v>
      </c>
      <c r="E293" t="s">
        <v>20</v>
      </c>
      <c r="F293" s="2">
        <v>45924</v>
      </c>
      <c r="G293" s="3">
        <v>19</v>
      </c>
      <c r="H293" s="2">
        <v>45949</v>
      </c>
      <c r="I293" s="2">
        <v>45949</v>
      </c>
      <c r="J293" s="3">
        <f>COUNTIFS('OOS Events'!$C:$C,B293,'OOS Events'!$D:$D,C293,'OOS Events'!$E:$E,"&gt;="&amp;D293-90,'OOS Events'!$E:$E,"&lt;"&amp;D293)</f>
        <v>0</v>
      </c>
      <c r="K293" s="3">
        <f>COUNTIF('OOS Events'!$B:$B,A293)</f>
        <v>0</v>
      </c>
      <c r="L293" s="3">
        <v>1</v>
      </c>
      <c r="M293" s="3">
        <v>20</v>
      </c>
      <c r="N293" t="s">
        <v>47</v>
      </c>
    </row>
    <row r="294" spans="1:14" ht="15" customHeight="1">
      <c r="A294" t="s">
        <v>369</v>
      </c>
      <c r="B294" t="s">
        <v>109</v>
      </c>
      <c r="C294" s="8" t="s">
        <v>24</v>
      </c>
      <c r="D294" s="9" t="s">
        <v>25</v>
      </c>
      <c r="E294" t="s">
        <v>26</v>
      </c>
      <c r="F294" s="2">
        <v>45925</v>
      </c>
      <c r="G294" s="3">
        <v>21</v>
      </c>
      <c r="H294" s="2">
        <v>45937</v>
      </c>
      <c r="I294" s="4">
        <v>45938</v>
      </c>
      <c r="J294" s="3">
        <f>COUNTIFS('OOS Events'!$C:$C,B294,'OOS Events'!$D:$D,C294,'OOS Events'!$E:$E,"&gt;="&amp;D294-90,'OOS Events'!$E:$E,"&lt;"&amp;D294)</f>
        <v>0</v>
      </c>
      <c r="K294" s="3">
        <f>COUNTIF('OOS Events'!$B:$B,A294)</f>
        <v>0</v>
      </c>
      <c r="L294" s="3">
        <v>0</v>
      </c>
      <c r="M294" s="3">
        <v>35</v>
      </c>
      <c r="N294" t="s">
        <v>21</v>
      </c>
    </row>
    <row r="295" spans="1:14" ht="15" customHeight="1">
      <c r="A295" t="s">
        <v>370</v>
      </c>
      <c r="B295" t="s">
        <v>196</v>
      </c>
      <c r="C295" s="8" t="s">
        <v>71</v>
      </c>
      <c r="D295" s="9" t="s">
        <v>72</v>
      </c>
      <c r="E295" t="s">
        <v>43</v>
      </c>
      <c r="F295" s="2">
        <v>45926</v>
      </c>
      <c r="G295" s="3">
        <v>27</v>
      </c>
      <c r="H295" s="2">
        <v>45960</v>
      </c>
      <c r="I295" s="2">
        <v>45960</v>
      </c>
      <c r="J295" s="3">
        <f>COUNTIFS('OOS Events'!$C:$C,B295,'OOS Events'!$D:$D,C295,'OOS Events'!$E:$E,"&gt;="&amp;D295-90,'OOS Events'!$E:$E,"&lt;"&amp;D295)</f>
        <v>0</v>
      </c>
      <c r="K295" s="3">
        <f>COUNTIF('OOS Events'!$B:$B,A295)</f>
        <v>1</v>
      </c>
      <c r="L295" s="3">
        <v>0</v>
      </c>
      <c r="M295" s="3">
        <v>43</v>
      </c>
      <c r="N295" t="s">
        <v>35</v>
      </c>
    </row>
    <row r="296" spans="1:14" ht="15" customHeight="1">
      <c r="A296" t="s">
        <v>371</v>
      </c>
      <c r="B296" t="s">
        <v>70</v>
      </c>
      <c r="C296" s="8" t="s">
        <v>71</v>
      </c>
      <c r="D296" s="9" t="s">
        <v>72</v>
      </c>
      <c r="E296" t="s">
        <v>26</v>
      </c>
      <c r="F296" s="2">
        <v>45928</v>
      </c>
      <c r="G296" s="3">
        <v>16</v>
      </c>
      <c r="H296" s="2">
        <v>45961</v>
      </c>
      <c r="I296" s="4">
        <v>45962</v>
      </c>
      <c r="J296" s="3">
        <f>COUNTIFS('OOS Events'!$C:$C,B296,'OOS Events'!$D:$D,C296,'OOS Events'!$E:$E,"&gt;="&amp;D296-90,'OOS Events'!$E:$E,"&lt;"&amp;D296)</f>
        <v>0</v>
      </c>
      <c r="K296" s="3">
        <f>COUNTIF('OOS Events'!$B:$B,A296)</f>
        <v>0</v>
      </c>
      <c r="L296" s="3">
        <v>2</v>
      </c>
      <c r="M296" s="3">
        <v>36</v>
      </c>
      <c r="N296" t="s">
        <v>35</v>
      </c>
    </row>
    <row r="297" spans="1:14" ht="15" customHeight="1">
      <c r="A297" t="s">
        <v>372</v>
      </c>
      <c r="B297" t="s">
        <v>142</v>
      </c>
      <c r="C297" s="8" t="s">
        <v>71</v>
      </c>
      <c r="D297" s="9" t="s">
        <v>72</v>
      </c>
      <c r="E297" t="s">
        <v>43</v>
      </c>
      <c r="F297" s="2">
        <v>45929</v>
      </c>
      <c r="G297" s="3">
        <v>24</v>
      </c>
      <c r="H297" s="2">
        <v>45955</v>
      </c>
      <c r="I297" s="4">
        <v>45960</v>
      </c>
      <c r="J297" s="3">
        <f>COUNTIFS('OOS Events'!$C:$C,B297,'OOS Events'!$D:$D,C297,'OOS Events'!$E:$E,"&gt;="&amp;D297-90,'OOS Events'!$E:$E,"&lt;"&amp;D297)</f>
        <v>0</v>
      </c>
      <c r="K297" s="3">
        <f>COUNTIF('OOS Events'!$B:$B,A297)</f>
        <v>0</v>
      </c>
      <c r="L297" s="3">
        <v>0</v>
      </c>
      <c r="M297" s="3">
        <v>33</v>
      </c>
      <c r="N297" t="s">
        <v>47</v>
      </c>
    </row>
    <row r="298" spans="1:14" ht="15" customHeight="1">
      <c r="A298" t="s">
        <v>373</v>
      </c>
      <c r="B298" t="s">
        <v>229</v>
      </c>
      <c r="C298" s="8" t="s">
        <v>33</v>
      </c>
      <c r="D298" s="9" t="s">
        <v>19</v>
      </c>
      <c r="E298" t="s">
        <v>30</v>
      </c>
      <c r="F298" s="2">
        <v>45930</v>
      </c>
      <c r="G298" s="3">
        <v>15</v>
      </c>
      <c r="H298" s="2">
        <v>45943</v>
      </c>
      <c r="I298" s="2">
        <v>45940</v>
      </c>
      <c r="J298" s="3">
        <f>COUNTIFS('OOS Events'!$C:$C,B298,'OOS Events'!$D:$D,C298,'OOS Events'!$E:$E,"&gt;="&amp;D298-90,'OOS Events'!$E:$E,"&lt;"&amp;D298)</f>
        <v>0</v>
      </c>
      <c r="K298" s="3">
        <f>COUNTIF('OOS Events'!$B:$B,A298)</f>
        <v>1</v>
      </c>
      <c r="L298" s="3">
        <v>1</v>
      </c>
      <c r="M298" s="3">
        <v>16</v>
      </c>
      <c r="N298" t="s">
        <v>21</v>
      </c>
    </row>
    <row r="299" spans="1:14" ht="15" customHeight="1">
      <c r="A299" t="s">
        <v>374</v>
      </c>
      <c r="B299" t="s">
        <v>174</v>
      </c>
      <c r="C299" s="8" t="s">
        <v>71</v>
      </c>
      <c r="D299" s="9" t="s">
        <v>72</v>
      </c>
      <c r="E299" t="s">
        <v>60</v>
      </c>
      <c r="F299" s="2">
        <v>45933</v>
      </c>
      <c r="G299" s="3">
        <v>16</v>
      </c>
      <c r="H299" s="2">
        <v>45963</v>
      </c>
      <c r="I299" s="4">
        <v>45964</v>
      </c>
      <c r="J299" s="3">
        <f>COUNTIFS('OOS Events'!$C:$C,B299,'OOS Events'!$D:$D,C299,'OOS Events'!$E:$E,"&gt;="&amp;D299-90,'OOS Events'!$E:$E,"&lt;"&amp;D299)</f>
        <v>0</v>
      </c>
      <c r="K299" s="3">
        <f>COUNTIF('OOS Events'!$B:$B,A299)</f>
        <v>0</v>
      </c>
      <c r="L299" s="3">
        <v>0</v>
      </c>
      <c r="M299" s="3">
        <v>44</v>
      </c>
      <c r="N299" t="s">
        <v>35</v>
      </c>
    </row>
    <row r="300" spans="1:14" ht="15" customHeight="1">
      <c r="A300" t="s">
        <v>375</v>
      </c>
      <c r="B300" t="s">
        <v>263</v>
      </c>
      <c r="C300" s="8" t="s">
        <v>33</v>
      </c>
      <c r="D300" s="9" t="s">
        <v>19</v>
      </c>
      <c r="E300" t="s">
        <v>34</v>
      </c>
      <c r="F300" s="2">
        <v>45934</v>
      </c>
      <c r="G300" s="3">
        <v>9</v>
      </c>
      <c r="H300" s="2">
        <v>45965</v>
      </c>
      <c r="I300" s="4">
        <v>45968</v>
      </c>
      <c r="J300" s="3">
        <f>COUNTIFS('OOS Events'!$C:$C,B300,'OOS Events'!$D:$D,C300,'OOS Events'!$E:$E,"&gt;="&amp;D300-90,'OOS Events'!$E:$E,"&lt;"&amp;D300)</f>
        <v>0</v>
      </c>
      <c r="K300" s="3">
        <f>COUNTIF('OOS Events'!$B:$B,A300)</f>
        <v>1</v>
      </c>
      <c r="L300" s="3">
        <v>1</v>
      </c>
      <c r="M300" s="3">
        <v>33</v>
      </c>
      <c r="N300" t="s">
        <v>47</v>
      </c>
    </row>
    <row r="301" spans="1:14" ht="15" customHeight="1">
      <c r="A301" t="s">
        <v>376</v>
      </c>
      <c r="B301" t="s">
        <v>206</v>
      </c>
      <c r="C301" s="8" t="s">
        <v>71</v>
      </c>
      <c r="D301" s="9" t="s">
        <v>72</v>
      </c>
      <c r="E301" t="s">
        <v>34</v>
      </c>
      <c r="F301" s="2">
        <v>45937</v>
      </c>
      <c r="G301" s="3">
        <v>13</v>
      </c>
      <c r="H301" s="2">
        <v>45952</v>
      </c>
      <c r="I301" s="4">
        <v>45957</v>
      </c>
      <c r="J301" s="3">
        <f>COUNTIFS('OOS Events'!$C:$C,B301,'OOS Events'!$D:$D,C301,'OOS Events'!$E:$E,"&gt;="&amp;D301-90,'OOS Events'!$E:$E,"&lt;"&amp;D301)</f>
        <v>0</v>
      </c>
      <c r="K301" s="3">
        <f>COUNTIF('OOS Events'!$B:$B,A301)</f>
        <v>0</v>
      </c>
      <c r="L301" s="3">
        <v>1</v>
      </c>
      <c r="M301" s="3">
        <v>31</v>
      </c>
      <c r="N301" t="s">
        <v>21</v>
      </c>
    </row>
    <row r="302" spans="1:14" ht="15" customHeight="1">
      <c r="A302" t="s">
        <v>377</v>
      </c>
      <c r="B302" t="s">
        <v>295</v>
      </c>
      <c r="C302" s="8" t="s">
        <v>33</v>
      </c>
      <c r="D302" s="9" t="s">
        <v>19</v>
      </c>
      <c r="E302" t="s">
        <v>30</v>
      </c>
      <c r="F302" s="2">
        <v>45938</v>
      </c>
      <c r="G302" s="3">
        <v>20</v>
      </c>
      <c r="H302" s="2">
        <v>45975</v>
      </c>
      <c r="I302" s="4">
        <v>45977</v>
      </c>
      <c r="J302" s="3">
        <f>COUNTIFS('OOS Events'!$C:$C,B302,'OOS Events'!$D:$D,C302,'OOS Events'!$E:$E,"&gt;="&amp;D302-90,'OOS Events'!$E:$E,"&lt;"&amp;D302)</f>
        <v>0</v>
      </c>
      <c r="K302" s="3">
        <f>COUNTIF('OOS Events'!$B:$B,A302)</f>
        <v>0</v>
      </c>
      <c r="L302" s="3">
        <v>0</v>
      </c>
      <c r="M302" s="3">
        <v>26</v>
      </c>
      <c r="N302" t="s">
        <v>35</v>
      </c>
    </row>
    <row r="303" spans="1:14" ht="15" customHeight="1">
      <c r="A303" t="s">
        <v>378</v>
      </c>
      <c r="B303" t="s">
        <v>238</v>
      </c>
      <c r="C303" s="8" t="s">
        <v>239</v>
      </c>
      <c r="D303" s="9" t="s">
        <v>240</v>
      </c>
      <c r="E303" t="s">
        <v>26</v>
      </c>
      <c r="F303" s="2">
        <v>45941</v>
      </c>
      <c r="G303" s="3">
        <v>24</v>
      </c>
      <c r="H303" s="2">
        <v>45969</v>
      </c>
      <c r="I303" s="2">
        <v>45969</v>
      </c>
      <c r="J303" s="3">
        <f>COUNTIFS('OOS Events'!$C:$C,B303,'OOS Events'!$D:$D,C303,'OOS Events'!$E:$E,"&gt;="&amp;D303-90,'OOS Events'!$E:$E,"&lt;"&amp;D303)</f>
        <v>0</v>
      </c>
      <c r="K303" s="3">
        <f>COUNTIF('OOS Events'!$B:$B,A303)</f>
        <v>0</v>
      </c>
      <c r="L303" s="3">
        <v>0</v>
      </c>
      <c r="M303" s="3">
        <v>36</v>
      </c>
      <c r="N303" t="s">
        <v>47</v>
      </c>
    </row>
    <row r="304" spans="1:14" ht="15" customHeight="1">
      <c r="A304" t="s">
        <v>379</v>
      </c>
      <c r="B304" t="s">
        <v>87</v>
      </c>
      <c r="C304" s="8" t="s">
        <v>71</v>
      </c>
      <c r="D304" s="9" t="s">
        <v>72</v>
      </c>
      <c r="E304" t="s">
        <v>20</v>
      </c>
      <c r="F304" s="2">
        <v>45942</v>
      </c>
      <c r="G304" s="3">
        <v>18</v>
      </c>
      <c r="H304" s="2">
        <v>45956</v>
      </c>
      <c r="I304" s="2">
        <v>45956</v>
      </c>
      <c r="J304" s="3">
        <f>COUNTIFS('OOS Events'!$C:$C,B304,'OOS Events'!$D:$D,C304,'OOS Events'!$E:$E,"&gt;="&amp;D304-90,'OOS Events'!$E:$E,"&lt;"&amp;D304)</f>
        <v>0</v>
      </c>
      <c r="K304" s="3">
        <f>COUNTIF('OOS Events'!$B:$B,A304)</f>
        <v>1</v>
      </c>
      <c r="L304" s="3">
        <v>1</v>
      </c>
      <c r="M304" s="3">
        <v>15</v>
      </c>
      <c r="N304" t="s">
        <v>21</v>
      </c>
    </row>
    <row r="305" spans="1:14" ht="15" customHeight="1">
      <c r="A305" t="s">
        <v>380</v>
      </c>
      <c r="B305" t="s">
        <v>91</v>
      </c>
      <c r="C305" s="8" t="s">
        <v>24</v>
      </c>
      <c r="D305" s="9" t="s">
        <v>25</v>
      </c>
      <c r="E305" t="s">
        <v>60</v>
      </c>
      <c r="F305" s="2">
        <v>45942</v>
      </c>
      <c r="G305" s="3">
        <v>25</v>
      </c>
      <c r="H305" s="2">
        <v>45983</v>
      </c>
      <c r="I305" s="4">
        <v>45984</v>
      </c>
      <c r="J305" s="3">
        <f>COUNTIFS('OOS Events'!$C:$C,B305,'OOS Events'!$D:$D,C305,'OOS Events'!$E:$E,"&gt;="&amp;D305-90,'OOS Events'!$E:$E,"&lt;"&amp;D305)</f>
        <v>0</v>
      </c>
      <c r="K305" s="3">
        <f>COUNTIF('OOS Events'!$B:$B,A305)</f>
        <v>0</v>
      </c>
      <c r="L305" s="3">
        <v>1</v>
      </c>
      <c r="M305" s="3">
        <v>32</v>
      </c>
      <c r="N305" t="s">
        <v>27</v>
      </c>
    </row>
    <row r="306" spans="1:14" ht="15" customHeight="1">
      <c r="A306" t="s">
        <v>381</v>
      </c>
      <c r="B306" t="s">
        <v>17</v>
      </c>
      <c r="C306" s="8" t="s">
        <v>18</v>
      </c>
      <c r="D306" s="9" t="s">
        <v>19</v>
      </c>
      <c r="E306" t="s">
        <v>34</v>
      </c>
      <c r="F306" s="2">
        <v>45943</v>
      </c>
      <c r="G306" s="3">
        <v>8</v>
      </c>
      <c r="H306" s="2">
        <v>45964</v>
      </c>
      <c r="I306" s="2">
        <v>45963</v>
      </c>
      <c r="J306" s="3">
        <f>COUNTIFS('OOS Events'!$C:$C,B306,'OOS Events'!$D:$D,C306,'OOS Events'!$E:$E,"&gt;="&amp;D306-90,'OOS Events'!$E:$E,"&lt;"&amp;D306)</f>
        <v>0</v>
      </c>
      <c r="K306" s="3">
        <f>COUNTIF('OOS Events'!$B:$B,A306)</f>
        <v>1</v>
      </c>
      <c r="L306" s="3">
        <v>0</v>
      </c>
      <c r="M306" s="3">
        <v>22</v>
      </c>
      <c r="N306" t="s">
        <v>40</v>
      </c>
    </row>
    <row r="307" spans="1:14" ht="15" customHeight="1">
      <c r="A307" t="s">
        <v>382</v>
      </c>
      <c r="B307" t="s">
        <v>273</v>
      </c>
      <c r="C307" s="8" t="s">
        <v>24</v>
      </c>
      <c r="D307" s="9" t="s">
        <v>25</v>
      </c>
      <c r="E307" t="s">
        <v>20</v>
      </c>
      <c r="F307" s="2">
        <v>45945</v>
      </c>
      <c r="G307" s="3">
        <v>12</v>
      </c>
      <c r="H307" s="2">
        <v>45981</v>
      </c>
      <c r="I307" s="2">
        <v>45981</v>
      </c>
      <c r="J307" s="3">
        <f>COUNTIFS('OOS Events'!$C:$C,B307,'OOS Events'!$D:$D,C307,'OOS Events'!$E:$E,"&gt;="&amp;D307-90,'OOS Events'!$E:$E,"&lt;"&amp;D307)</f>
        <v>0</v>
      </c>
      <c r="K307" s="3">
        <f>COUNTIF('OOS Events'!$B:$B,A307)</f>
        <v>1</v>
      </c>
      <c r="L307" s="3">
        <v>0</v>
      </c>
      <c r="M307" s="3">
        <v>33</v>
      </c>
      <c r="N307" t="s">
        <v>35</v>
      </c>
    </row>
    <row r="308" spans="1:14" ht="15" customHeight="1">
      <c r="A308" t="s">
        <v>383</v>
      </c>
      <c r="B308" t="s">
        <v>23</v>
      </c>
      <c r="C308" s="8" t="s">
        <v>24</v>
      </c>
      <c r="D308" s="9" t="s">
        <v>25</v>
      </c>
      <c r="E308" t="s">
        <v>26</v>
      </c>
      <c r="F308" s="2">
        <v>45946</v>
      </c>
      <c r="G308" s="3">
        <v>21</v>
      </c>
      <c r="H308" s="2">
        <v>45977</v>
      </c>
      <c r="I308" s="2">
        <v>45977</v>
      </c>
      <c r="J308" s="3">
        <f>COUNTIFS('OOS Events'!$C:$C,B308,'OOS Events'!$D:$D,C308,'OOS Events'!$E:$E,"&gt;="&amp;D308-90,'OOS Events'!$E:$E,"&lt;"&amp;D308)</f>
        <v>0</v>
      </c>
      <c r="K308" s="3">
        <f>COUNTIF('OOS Events'!$B:$B,A308)</f>
        <v>0</v>
      </c>
      <c r="L308" s="3">
        <v>1</v>
      </c>
      <c r="M308" s="3">
        <v>25</v>
      </c>
      <c r="N308" t="s">
        <v>47</v>
      </c>
    </row>
    <row r="309" spans="1:14" ht="15" customHeight="1">
      <c r="A309" t="s">
        <v>384</v>
      </c>
      <c r="B309" t="s">
        <v>32</v>
      </c>
      <c r="C309" s="8" t="s">
        <v>33</v>
      </c>
      <c r="D309" s="9" t="s">
        <v>19</v>
      </c>
      <c r="E309" t="s">
        <v>34</v>
      </c>
      <c r="F309" s="2">
        <v>45946</v>
      </c>
      <c r="G309" s="3">
        <v>11</v>
      </c>
      <c r="H309" s="2">
        <v>45973</v>
      </c>
      <c r="I309" s="2">
        <v>45973</v>
      </c>
      <c r="J309" s="3">
        <f>COUNTIFS('OOS Events'!$C:$C,B309,'OOS Events'!$D:$D,C309,'OOS Events'!$E:$E,"&gt;="&amp;D309-90,'OOS Events'!$E:$E,"&lt;"&amp;D309)</f>
        <v>0</v>
      </c>
      <c r="K309" s="3">
        <f>COUNTIF('OOS Events'!$B:$B,A309)</f>
        <v>1</v>
      </c>
      <c r="L309" s="3">
        <v>0</v>
      </c>
      <c r="M309" s="3">
        <v>16</v>
      </c>
      <c r="N309" t="s">
        <v>44</v>
      </c>
    </row>
    <row r="310" spans="1:14" ht="15" customHeight="1">
      <c r="A310" t="s">
        <v>385</v>
      </c>
      <c r="B310" t="s">
        <v>97</v>
      </c>
      <c r="C310" s="8" t="s">
        <v>18</v>
      </c>
      <c r="D310" s="9" t="s">
        <v>19</v>
      </c>
      <c r="E310" t="s">
        <v>26</v>
      </c>
      <c r="F310" s="2">
        <v>45947</v>
      </c>
      <c r="G310" s="3">
        <v>16</v>
      </c>
      <c r="H310" s="2">
        <v>45986</v>
      </c>
      <c r="I310" s="4">
        <v>45987</v>
      </c>
      <c r="J310" s="3">
        <f>COUNTIFS('OOS Events'!$C:$C,B310,'OOS Events'!$D:$D,C310,'OOS Events'!$E:$E,"&gt;="&amp;D310-90,'OOS Events'!$E:$E,"&lt;"&amp;D310)</f>
        <v>0</v>
      </c>
      <c r="K310" s="3">
        <f>COUNTIF('OOS Events'!$B:$B,A310)</f>
        <v>0</v>
      </c>
      <c r="L310" s="3">
        <v>0</v>
      </c>
      <c r="M310" s="3">
        <v>26</v>
      </c>
      <c r="N310" t="s">
        <v>27</v>
      </c>
    </row>
    <row r="311" spans="1:14" ht="15" customHeight="1">
      <c r="A311" t="s">
        <v>386</v>
      </c>
      <c r="B311" t="s">
        <v>37</v>
      </c>
      <c r="C311" s="8" t="s">
        <v>38</v>
      </c>
      <c r="D311" s="9" t="s">
        <v>39</v>
      </c>
      <c r="E311" t="s">
        <v>26</v>
      </c>
      <c r="F311" s="2">
        <v>45949</v>
      </c>
      <c r="G311" s="3">
        <v>22</v>
      </c>
      <c r="H311" s="2">
        <v>45968</v>
      </c>
      <c r="I311" s="4">
        <v>45970</v>
      </c>
      <c r="J311" s="3">
        <f>COUNTIFS('OOS Events'!$C:$C,B311,'OOS Events'!$D:$D,C311,'OOS Events'!$E:$E,"&gt;="&amp;D311-90,'OOS Events'!$E:$E,"&lt;"&amp;D311)</f>
        <v>0</v>
      </c>
      <c r="K311" s="3">
        <f>COUNTIF('OOS Events'!$B:$B,A311)</f>
        <v>0</v>
      </c>
      <c r="L311" s="3">
        <v>1</v>
      </c>
      <c r="M311" s="3">
        <v>17</v>
      </c>
      <c r="N311" t="s">
        <v>21</v>
      </c>
    </row>
    <row r="312" spans="1:14" ht="15" customHeight="1">
      <c r="A312" t="s">
        <v>387</v>
      </c>
      <c r="B312" t="s">
        <v>42</v>
      </c>
      <c r="C312" s="8" t="s">
        <v>24</v>
      </c>
      <c r="D312" s="9" t="s">
        <v>25</v>
      </c>
      <c r="E312" t="s">
        <v>34</v>
      </c>
      <c r="F312" s="2">
        <v>45950</v>
      </c>
      <c r="G312" s="3">
        <v>16</v>
      </c>
      <c r="H312" s="2">
        <v>45985</v>
      </c>
      <c r="I312" s="4">
        <v>45986</v>
      </c>
      <c r="J312" s="3">
        <f>COUNTIFS('OOS Events'!$C:$C,B312,'OOS Events'!$D:$D,C312,'OOS Events'!$E:$E,"&gt;="&amp;D312-90,'OOS Events'!$E:$E,"&lt;"&amp;D312)</f>
        <v>0</v>
      </c>
      <c r="K312" s="3">
        <f>COUNTIF('OOS Events'!$B:$B,A312)</f>
        <v>0</v>
      </c>
      <c r="L312" s="3">
        <v>1</v>
      </c>
      <c r="M312" s="3">
        <v>19</v>
      </c>
      <c r="N312" t="s">
        <v>35</v>
      </c>
    </row>
    <row r="313" spans="1:14" ht="15" customHeight="1">
      <c r="A313" t="s">
        <v>388</v>
      </c>
      <c r="B313" t="s">
        <v>49</v>
      </c>
      <c r="C313" s="8" t="s">
        <v>33</v>
      </c>
      <c r="D313" s="9" t="s">
        <v>19</v>
      </c>
      <c r="E313" t="s">
        <v>30</v>
      </c>
      <c r="F313" s="2">
        <v>45950</v>
      </c>
      <c r="G313" s="3">
        <v>17</v>
      </c>
      <c r="H313" s="2">
        <v>45969</v>
      </c>
      <c r="I313" s="4">
        <v>45981</v>
      </c>
      <c r="J313" s="3">
        <f>COUNTIFS('OOS Events'!$C:$C,B313,'OOS Events'!$D:$D,C313,'OOS Events'!$E:$E,"&gt;="&amp;D313-90,'OOS Events'!$E:$E,"&lt;"&amp;D313)</f>
        <v>0</v>
      </c>
      <c r="K313" s="3">
        <f>COUNTIF('OOS Events'!$B:$B,A313)</f>
        <v>1</v>
      </c>
      <c r="L313" s="3">
        <v>0</v>
      </c>
      <c r="M313" s="3">
        <v>14</v>
      </c>
      <c r="N313" t="s">
        <v>40</v>
      </c>
    </row>
    <row r="314" spans="1:14" ht="15" customHeight="1">
      <c r="A314" t="s">
        <v>389</v>
      </c>
      <c r="B314" t="s">
        <v>130</v>
      </c>
      <c r="C314" s="8" t="s">
        <v>71</v>
      </c>
      <c r="D314" s="9" t="s">
        <v>72</v>
      </c>
      <c r="E314" t="s">
        <v>20</v>
      </c>
      <c r="F314" s="2">
        <v>45951</v>
      </c>
      <c r="G314" s="3">
        <v>17</v>
      </c>
      <c r="H314" s="2">
        <v>45979</v>
      </c>
      <c r="I314" s="4">
        <v>45980</v>
      </c>
      <c r="J314" s="3">
        <f>COUNTIFS('OOS Events'!$C:$C,B314,'OOS Events'!$D:$D,C314,'OOS Events'!$E:$E,"&gt;="&amp;D314-90,'OOS Events'!$E:$E,"&lt;"&amp;D314)</f>
        <v>0</v>
      </c>
      <c r="K314" s="3">
        <f>COUNTIF('OOS Events'!$B:$B,A314)</f>
        <v>0</v>
      </c>
      <c r="L314" s="3">
        <v>0</v>
      </c>
      <c r="M314" s="3">
        <v>29</v>
      </c>
      <c r="N314" t="s">
        <v>44</v>
      </c>
    </row>
    <row r="315" spans="1:14" ht="15" customHeight="1">
      <c r="A315" t="s">
        <v>390</v>
      </c>
      <c r="B315" t="s">
        <v>51</v>
      </c>
      <c r="C315" s="8" t="s">
        <v>38</v>
      </c>
      <c r="D315" s="9" t="s">
        <v>39</v>
      </c>
      <c r="E315" t="s">
        <v>43</v>
      </c>
      <c r="F315" s="2">
        <v>45953</v>
      </c>
      <c r="G315" s="3">
        <v>18</v>
      </c>
      <c r="H315" s="2">
        <v>45982</v>
      </c>
      <c r="I315" s="4">
        <v>45987</v>
      </c>
      <c r="J315" s="3">
        <f>COUNTIFS('OOS Events'!$C:$C,B315,'OOS Events'!$D:$D,C315,'OOS Events'!$E:$E,"&gt;="&amp;D315-90,'OOS Events'!$E:$E,"&lt;"&amp;D315)</f>
        <v>0</v>
      </c>
      <c r="K315" s="3">
        <f>COUNTIF('OOS Events'!$B:$B,A315)</f>
        <v>1</v>
      </c>
      <c r="L315" s="3">
        <v>0</v>
      </c>
      <c r="M315" s="3">
        <v>14</v>
      </c>
      <c r="N315" t="s">
        <v>47</v>
      </c>
    </row>
    <row r="316" spans="1:14" ht="15" customHeight="1">
      <c r="A316" t="s">
        <v>391</v>
      </c>
      <c r="B316" t="s">
        <v>55</v>
      </c>
      <c r="C316" s="8" t="s">
        <v>33</v>
      </c>
      <c r="D316" s="9" t="s">
        <v>19</v>
      </c>
      <c r="E316" t="s">
        <v>30</v>
      </c>
      <c r="F316" s="2">
        <v>45953</v>
      </c>
      <c r="G316" s="3">
        <v>18</v>
      </c>
      <c r="H316" s="2">
        <v>45976</v>
      </c>
      <c r="I316" s="4">
        <v>45979</v>
      </c>
      <c r="J316" s="3">
        <f>COUNTIFS('OOS Events'!$C:$C,B316,'OOS Events'!$D:$D,C316,'OOS Events'!$E:$E,"&gt;="&amp;D316-90,'OOS Events'!$E:$E,"&lt;"&amp;D316)</f>
        <v>0</v>
      </c>
      <c r="K316" s="3">
        <f>COUNTIF('OOS Events'!$B:$B,A316)</f>
        <v>1</v>
      </c>
      <c r="L316" s="3">
        <v>0</v>
      </c>
      <c r="M316" s="3">
        <v>21</v>
      </c>
      <c r="N316" t="s">
        <v>44</v>
      </c>
    </row>
    <row r="317" spans="1:14" ht="15" customHeight="1">
      <c r="A317" t="s">
        <v>392</v>
      </c>
      <c r="B317" t="s">
        <v>57</v>
      </c>
      <c r="C317" s="8" t="s">
        <v>24</v>
      </c>
      <c r="D317" s="9" t="s">
        <v>25</v>
      </c>
      <c r="E317" t="s">
        <v>20</v>
      </c>
      <c r="F317" s="2">
        <v>45954</v>
      </c>
      <c r="G317" s="3">
        <v>22</v>
      </c>
      <c r="H317" s="2">
        <v>45993</v>
      </c>
      <c r="I317" s="4">
        <v>45995</v>
      </c>
      <c r="J317" s="3">
        <f>COUNTIFS('OOS Events'!$C:$C,B317,'OOS Events'!$D:$D,C317,'OOS Events'!$E:$E,"&gt;="&amp;D317-90,'OOS Events'!$E:$E,"&lt;"&amp;D317)</f>
        <v>0</v>
      </c>
      <c r="K317" s="3">
        <f>COUNTIF('OOS Events'!$B:$B,A317)</f>
        <v>1</v>
      </c>
      <c r="L317" s="3">
        <v>0</v>
      </c>
      <c r="M317" s="3">
        <v>18</v>
      </c>
      <c r="N317" t="s">
        <v>27</v>
      </c>
    </row>
    <row r="318" spans="1:14" ht="15" customHeight="1">
      <c r="A318" t="s">
        <v>393</v>
      </c>
      <c r="B318" t="s">
        <v>163</v>
      </c>
      <c r="C318" s="8" t="s">
        <v>71</v>
      </c>
      <c r="D318" s="9" t="s">
        <v>72</v>
      </c>
      <c r="E318" t="s">
        <v>26</v>
      </c>
      <c r="F318" s="2">
        <v>45955</v>
      </c>
      <c r="G318" s="3">
        <v>21</v>
      </c>
      <c r="H318" s="2">
        <v>45975</v>
      </c>
      <c r="I318" s="2">
        <v>45975</v>
      </c>
      <c r="J318" s="3">
        <f>COUNTIFS('OOS Events'!$C:$C,B318,'OOS Events'!$D:$D,C318,'OOS Events'!$E:$E,"&gt;="&amp;D318-90,'OOS Events'!$E:$E,"&lt;"&amp;D318)</f>
        <v>0</v>
      </c>
      <c r="K318" s="3">
        <f>COUNTIF('OOS Events'!$B:$B,A318)</f>
        <v>0</v>
      </c>
      <c r="L318" s="3">
        <v>0</v>
      </c>
      <c r="M318" s="3">
        <v>35</v>
      </c>
      <c r="N318" t="s">
        <v>40</v>
      </c>
    </row>
    <row r="319" spans="1:14" ht="15" customHeight="1">
      <c r="A319" t="s">
        <v>394</v>
      </c>
      <c r="B319" t="s">
        <v>59</v>
      </c>
      <c r="C319" s="8" t="s">
        <v>24</v>
      </c>
      <c r="D319" s="9" t="s">
        <v>25</v>
      </c>
      <c r="E319" t="s">
        <v>60</v>
      </c>
      <c r="F319" s="2">
        <v>45957</v>
      </c>
      <c r="G319" s="3">
        <v>24</v>
      </c>
      <c r="H319" s="2">
        <v>45991</v>
      </c>
      <c r="I319" s="4">
        <v>45992</v>
      </c>
      <c r="J319" s="3">
        <f>COUNTIFS('OOS Events'!$C:$C,B319,'OOS Events'!$D:$D,C319,'OOS Events'!$E:$E,"&gt;="&amp;D319-90,'OOS Events'!$E:$E,"&lt;"&amp;D319)</f>
        <v>0</v>
      </c>
      <c r="K319" s="3">
        <f>COUNTIF('OOS Events'!$B:$B,A319)</f>
        <v>0</v>
      </c>
      <c r="L319" s="3">
        <v>0</v>
      </c>
      <c r="M319" s="3">
        <v>39</v>
      </c>
      <c r="N319" t="s">
        <v>35</v>
      </c>
    </row>
    <row r="320" spans="1:14" ht="15" customHeight="1">
      <c r="A320" t="s">
        <v>395</v>
      </c>
      <c r="B320" t="s">
        <v>64</v>
      </c>
      <c r="C320" s="8" t="s">
        <v>24</v>
      </c>
      <c r="D320" s="9" t="s">
        <v>25</v>
      </c>
      <c r="E320" t="s">
        <v>20</v>
      </c>
      <c r="F320" s="2">
        <v>45957</v>
      </c>
      <c r="G320" s="3">
        <v>23</v>
      </c>
      <c r="H320" s="2">
        <v>45982</v>
      </c>
      <c r="I320" s="4">
        <v>45983</v>
      </c>
      <c r="J320" s="3">
        <f>COUNTIFS('OOS Events'!$C:$C,B320,'OOS Events'!$D:$D,C320,'OOS Events'!$E:$E,"&gt;="&amp;D320-90,'OOS Events'!$E:$E,"&lt;"&amp;D320)</f>
        <v>0</v>
      </c>
      <c r="K320" s="3">
        <f>COUNTIF('OOS Events'!$B:$B,A320)</f>
        <v>0</v>
      </c>
      <c r="L320" s="3">
        <v>0</v>
      </c>
      <c r="M320" s="3">
        <v>22</v>
      </c>
      <c r="N320" t="s">
        <v>40</v>
      </c>
    </row>
    <row r="321" spans="1:14" ht="15" customHeight="1">
      <c r="A321" t="s">
        <v>396</v>
      </c>
      <c r="B321" t="s">
        <v>109</v>
      </c>
      <c r="C321" s="8" t="s">
        <v>24</v>
      </c>
      <c r="D321" s="9" t="s">
        <v>25</v>
      </c>
      <c r="E321" t="s">
        <v>60</v>
      </c>
      <c r="F321" s="2">
        <v>45958</v>
      </c>
      <c r="G321" s="3">
        <v>20</v>
      </c>
      <c r="H321" s="2">
        <v>45987</v>
      </c>
      <c r="I321" s="2">
        <v>45985</v>
      </c>
      <c r="J321" s="3">
        <f>COUNTIFS('OOS Events'!$C:$C,B321,'OOS Events'!$D:$D,C321,'OOS Events'!$E:$E,"&gt;="&amp;D321-90,'OOS Events'!$E:$E,"&lt;"&amp;D321)</f>
        <v>0</v>
      </c>
      <c r="K321" s="3">
        <f>COUNTIF('OOS Events'!$B:$B,A321)</f>
        <v>1</v>
      </c>
      <c r="L321" s="3">
        <v>0</v>
      </c>
      <c r="M321" s="3">
        <v>21</v>
      </c>
      <c r="N321" t="s">
        <v>44</v>
      </c>
    </row>
    <row r="322" spans="1:14" ht="15" customHeight="1">
      <c r="A322" t="s">
        <v>397</v>
      </c>
      <c r="B322" t="s">
        <v>196</v>
      </c>
      <c r="C322" s="8" t="s">
        <v>71</v>
      </c>
      <c r="D322" s="9" t="s">
        <v>72</v>
      </c>
      <c r="E322" t="s">
        <v>43</v>
      </c>
      <c r="F322" s="2">
        <v>45959</v>
      </c>
      <c r="G322" s="3">
        <v>18</v>
      </c>
      <c r="H322" s="2">
        <v>45996</v>
      </c>
      <c r="I322" s="4">
        <v>45999</v>
      </c>
      <c r="J322" s="3">
        <f>COUNTIFS('OOS Events'!$C:$C,B322,'OOS Events'!$D:$D,C322,'OOS Events'!$E:$E,"&gt;="&amp;D322-90,'OOS Events'!$E:$E,"&lt;"&amp;D322)</f>
        <v>0</v>
      </c>
      <c r="K322" s="3">
        <f>COUNTIF('OOS Events'!$B:$B,A322)</f>
        <v>1</v>
      </c>
      <c r="L322" s="3">
        <v>0</v>
      </c>
      <c r="M322" s="3">
        <v>37</v>
      </c>
      <c r="N322" t="s">
        <v>27</v>
      </c>
    </row>
    <row r="323" spans="1:14" ht="15" customHeight="1">
      <c r="A323" t="s">
        <v>398</v>
      </c>
      <c r="B323" t="s">
        <v>66</v>
      </c>
      <c r="C323" s="8" t="s">
        <v>24</v>
      </c>
      <c r="D323" s="9" t="s">
        <v>25</v>
      </c>
      <c r="E323" t="s">
        <v>20</v>
      </c>
      <c r="F323" s="2">
        <v>45961</v>
      </c>
      <c r="G323" s="3">
        <v>27</v>
      </c>
      <c r="H323" s="2">
        <v>45981</v>
      </c>
      <c r="I323" s="2">
        <v>45981</v>
      </c>
      <c r="J323" s="3">
        <f>COUNTIFS('OOS Events'!$C:$C,B323,'OOS Events'!$D:$D,C323,'OOS Events'!$E:$E,"&gt;="&amp;D323-90,'OOS Events'!$E:$E,"&lt;"&amp;D323)</f>
        <v>0</v>
      </c>
      <c r="K323" s="3">
        <f>COUNTIF('OOS Events'!$B:$B,A323)</f>
        <v>0</v>
      </c>
      <c r="L323" s="3">
        <v>0</v>
      </c>
      <c r="M323" s="3">
        <v>8</v>
      </c>
      <c r="N323" t="s">
        <v>21</v>
      </c>
    </row>
    <row r="324" spans="1:14" ht="15" customHeight="1">
      <c r="A324" t="s">
        <v>399</v>
      </c>
      <c r="B324" t="s">
        <v>70</v>
      </c>
      <c r="C324" s="8" t="s">
        <v>71</v>
      </c>
      <c r="D324" s="9" t="s">
        <v>72</v>
      </c>
      <c r="E324" t="s">
        <v>26</v>
      </c>
      <c r="F324" s="2">
        <v>45961</v>
      </c>
      <c r="G324" s="3">
        <v>20</v>
      </c>
      <c r="H324" s="2">
        <v>45997</v>
      </c>
      <c r="I324" s="2">
        <v>45997</v>
      </c>
      <c r="J324" s="3">
        <f>COUNTIFS('OOS Events'!$C:$C,B324,'OOS Events'!$D:$D,C324,'OOS Events'!$E:$E,"&gt;="&amp;D324-90,'OOS Events'!$E:$E,"&lt;"&amp;D324)</f>
        <v>0</v>
      </c>
      <c r="K324" s="3">
        <f>COUNTIF('OOS Events'!$B:$B,A324)</f>
        <v>0</v>
      </c>
      <c r="L324" s="3">
        <v>2</v>
      </c>
      <c r="M324" s="3">
        <v>21</v>
      </c>
      <c r="N324" t="s">
        <v>27</v>
      </c>
    </row>
    <row r="325" spans="1:14" ht="15" customHeight="1">
      <c r="A325" t="s">
        <v>400</v>
      </c>
      <c r="B325" t="s">
        <v>142</v>
      </c>
      <c r="C325" s="8" t="s">
        <v>71</v>
      </c>
      <c r="D325" s="9" t="s">
        <v>72</v>
      </c>
      <c r="E325" t="s">
        <v>43</v>
      </c>
      <c r="F325" s="2">
        <v>45962</v>
      </c>
      <c r="G325" s="3">
        <v>20</v>
      </c>
      <c r="H325" s="2">
        <v>45988</v>
      </c>
      <c r="I325" s="2">
        <v>45988</v>
      </c>
      <c r="J325" s="3">
        <f>COUNTIFS('OOS Events'!$C:$C,B325,'OOS Events'!$D:$D,C325,'OOS Events'!$E:$E,"&gt;="&amp;D325-90,'OOS Events'!$E:$E,"&lt;"&amp;D325)</f>
        <v>0</v>
      </c>
      <c r="K325" s="3">
        <f>COUNTIF('OOS Events'!$B:$B,A325)</f>
        <v>2</v>
      </c>
      <c r="L325" s="3">
        <v>1</v>
      </c>
      <c r="M325" s="3">
        <v>9</v>
      </c>
      <c r="N325" t="s">
        <v>40</v>
      </c>
    </row>
    <row r="326" spans="1:14" ht="15" customHeight="1">
      <c r="A326" t="s">
        <v>401</v>
      </c>
      <c r="B326" t="s">
        <v>229</v>
      </c>
      <c r="C326" s="8" t="s">
        <v>33</v>
      </c>
      <c r="D326" s="9" t="s">
        <v>19</v>
      </c>
      <c r="E326" t="s">
        <v>60</v>
      </c>
      <c r="F326" s="2">
        <v>45963</v>
      </c>
      <c r="G326" s="3">
        <v>26</v>
      </c>
      <c r="H326" s="2">
        <v>45992</v>
      </c>
      <c r="I326" s="2">
        <v>45991</v>
      </c>
      <c r="J326" s="3">
        <f>COUNTIFS('OOS Events'!$C:$C,B326,'OOS Events'!$D:$D,C326,'OOS Events'!$E:$E,"&gt;="&amp;D326-90,'OOS Events'!$E:$E,"&lt;"&amp;D326)</f>
        <v>0</v>
      </c>
      <c r="K326" s="3">
        <f>COUNTIF('OOS Events'!$B:$B,A326)</f>
        <v>0</v>
      </c>
      <c r="L326" s="3">
        <v>0</v>
      </c>
      <c r="M326" s="3">
        <v>24</v>
      </c>
      <c r="N326" t="s">
        <v>44</v>
      </c>
    </row>
    <row r="327" spans="1:14" ht="15" customHeight="1">
      <c r="A327" t="s">
        <v>402</v>
      </c>
      <c r="B327" t="s">
        <v>174</v>
      </c>
      <c r="C327" s="8" t="s">
        <v>71</v>
      </c>
      <c r="D327" s="9" t="s">
        <v>72</v>
      </c>
      <c r="E327" t="s">
        <v>60</v>
      </c>
      <c r="F327" s="2">
        <v>45966</v>
      </c>
      <c r="G327" s="3">
        <v>20</v>
      </c>
      <c r="H327" s="2">
        <v>46003</v>
      </c>
      <c r="I327" s="4">
        <v>46008</v>
      </c>
      <c r="J327" s="3">
        <f>COUNTIFS('OOS Events'!$C:$C,B327,'OOS Events'!$D:$D,C327,'OOS Events'!$E:$E,"&gt;="&amp;D327-90,'OOS Events'!$E:$E,"&lt;"&amp;D327)</f>
        <v>0</v>
      </c>
      <c r="K327" s="3">
        <f>COUNTIF('OOS Events'!$B:$B,A327)</f>
        <v>1</v>
      </c>
      <c r="L327" s="3">
        <v>0</v>
      </c>
      <c r="M327" s="3">
        <v>32</v>
      </c>
      <c r="N327" t="s">
        <v>27</v>
      </c>
    </row>
    <row r="328" spans="1:14" ht="15" customHeight="1">
      <c r="A328" t="s">
        <v>403</v>
      </c>
      <c r="B328" t="s">
        <v>263</v>
      </c>
      <c r="C328" s="8" t="s">
        <v>33</v>
      </c>
      <c r="D328" s="9" t="s">
        <v>19</v>
      </c>
      <c r="E328" t="s">
        <v>20</v>
      </c>
      <c r="F328" s="2">
        <v>45967</v>
      </c>
      <c r="G328" s="3">
        <v>25</v>
      </c>
      <c r="H328" s="2">
        <v>45988</v>
      </c>
      <c r="I328" s="4">
        <v>45989</v>
      </c>
      <c r="J328" s="3">
        <f>COUNTIFS('OOS Events'!$C:$C,B328,'OOS Events'!$D:$D,C328,'OOS Events'!$E:$E,"&gt;="&amp;D328-90,'OOS Events'!$E:$E,"&lt;"&amp;D328)</f>
        <v>0</v>
      </c>
      <c r="K328" s="3">
        <f>COUNTIF('OOS Events'!$B:$B,A328)</f>
        <v>0</v>
      </c>
      <c r="L328" s="3">
        <v>2</v>
      </c>
      <c r="M328" s="3">
        <v>12</v>
      </c>
      <c r="N328" t="s">
        <v>40</v>
      </c>
    </row>
    <row r="329" spans="1:14" ht="15" customHeight="1">
      <c r="A329" t="s">
        <v>404</v>
      </c>
      <c r="B329" t="s">
        <v>206</v>
      </c>
      <c r="C329" s="8" t="s">
        <v>71</v>
      </c>
      <c r="D329" s="9" t="s">
        <v>72</v>
      </c>
      <c r="E329" t="s">
        <v>34</v>
      </c>
      <c r="F329" s="2">
        <v>45970</v>
      </c>
      <c r="G329" s="3">
        <v>13</v>
      </c>
      <c r="H329" s="2">
        <v>45997</v>
      </c>
      <c r="I329" s="4">
        <v>45998</v>
      </c>
      <c r="J329" s="3">
        <f>COUNTIFS('OOS Events'!$C:$C,B329,'OOS Events'!$D:$D,C329,'OOS Events'!$E:$E,"&gt;="&amp;D329-90,'OOS Events'!$E:$E,"&lt;"&amp;D329)</f>
        <v>0</v>
      </c>
      <c r="K329" s="3">
        <f>COUNTIF('OOS Events'!$B:$B,A329)</f>
        <v>1</v>
      </c>
      <c r="L329" s="3">
        <v>0</v>
      </c>
      <c r="M329" s="3">
        <v>9</v>
      </c>
      <c r="N329" t="s">
        <v>44</v>
      </c>
    </row>
    <row r="330" spans="1:14" ht="15" customHeight="1">
      <c r="A330" t="s">
        <v>405</v>
      </c>
      <c r="B330" t="s">
        <v>295</v>
      </c>
      <c r="C330" s="8" t="s">
        <v>33</v>
      </c>
      <c r="D330" s="9" t="s">
        <v>19</v>
      </c>
      <c r="E330" t="s">
        <v>30</v>
      </c>
      <c r="F330" s="2">
        <v>45971</v>
      </c>
      <c r="G330" s="3">
        <v>18</v>
      </c>
      <c r="H330" s="2">
        <v>46008</v>
      </c>
      <c r="I330" s="4">
        <v>46009</v>
      </c>
      <c r="J330" s="3">
        <f>COUNTIFS('OOS Events'!$C:$C,B330,'OOS Events'!$D:$D,C330,'OOS Events'!$E:$E,"&gt;="&amp;D330-90,'OOS Events'!$E:$E,"&lt;"&amp;D330)</f>
        <v>0</v>
      </c>
      <c r="K330" s="3">
        <f>COUNTIF('OOS Events'!$B:$B,A330)</f>
        <v>0</v>
      </c>
      <c r="L330" s="3">
        <v>0</v>
      </c>
      <c r="M330" s="3">
        <v>19</v>
      </c>
      <c r="N330" t="s">
        <v>27</v>
      </c>
    </row>
    <row r="331" spans="1:14" ht="15" customHeight="1">
      <c r="A331" t="s">
        <v>406</v>
      </c>
      <c r="B331" t="s">
        <v>238</v>
      </c>
      <c r="C331" s="8" t="s">
        <v>239</v>
      </c>
      <c r="D331" s="9" t="s">
        <v>240</v>
      </c>
      <c r="E331" t="s">
        <v>30</v>
      </c>
      <c r="F331" s="2">
        <v>45974</v>
      </c>
      <c r="G331" s="3">
        <v>13</v>
      </c>
      <c r="H331" s="2">
        <v>46000</v>
      </c>
      <c r="I331" s="2">
        <v>46000</v>
      </c>
      <c r="J331" s="3">
        <f>COUNTIFS('OOS Events'!$C:$C,B331,'OOS Events'!$D:$D,C331,'OOS Events'!$E:$E,"&gt;="&amp;D331-90,'OOS Events'!$E:$E,"&lt;"&amp;D331)</f>
        <v>0</v>
      </c>
      <c r="K331" s="3">
        <f>COUNTIF('OOS Events'!$B:$B,A331)</f>
        <v>0</v>
      </c>
      <c r="L331" s="3">
        <v>1</v>
      </c>
      <c r="M331" s="3">
        <v>13</v>
      </c>
      <c r="N331" t="s">
        <v>40</v>
      </c>
    </row>
    <row r="332" spans="1:14" ht="15" customHeight="1">
      <c r="A332" t="s">
        <v>407</v>
      </c>
      <c r="B332" t="s">
        <v>87</v>
      </c>
      <c r="C332" s="8" t="s">
        <v>71</v>
      </c>
      <c r="D332" s="9" t="s">
        <v>72</v>
      </c>
      <c r="E332" t="s">
        <v>20</v>
      </c>
      <c r="F332" s="2">
        <v>45975</v>
      </c>
      <c r="G332" s="3">
        <v>23</v>
      </c>
      <c r="H332" s="2">
        <v>46001</v>
      </c>
      <c r="I332" s="2">
        <v>46001</v>
      </c>
      <c r="J332" s="3">
        <f>COUNTIFS('OOS Events'!$C:$C,B332,'OOS Events'!$D:$D,C332,'OOS Events'!$E:$E,"&gt;="&amp;D332-90,'OOS Events'!$E:$E,"&lt;"&amp;D332)</f>
        <v>0</v>
      </c>
      <c r="K332" s="3">
        <f>COUNTIF('OOS Events'!$B:$B,A332)</f>
        <v>1</v>
      </c>
      <c r="L332" s="3">
        <v>0</v>
      </c>
      <c r="M332" s="3">
        <v>32</v>
      </c>
      <c r="N332" t="s">
        <v>44</v>
      </c>
    </row>
    <row r="333" spans="1:14" ht="15" customHeight="1">
      <c r="A333" t="s">
        <v>408</v>
      </c>
      <c r="B333" t="s">
        <v>17</v>
      </c>
      <c r="C333" s="8" t="s">
        <v>18</v>
      </c>
      <c r="D333" s="9" t="s">
        <v>19</v>
      </c>
      <c r="E333" t="s">
        <v>34</v>
      </c>
      <c r="F333" s="2">
        <v>45976</v>
      </c>
      <c r="G333" s="3">
        <v>8</v>
      </c>
      <c r="H333" s="2">
        <v>45993</v>
      </c>
      <c r="I333" s="4">
        <v>45996</v>
      </c>
      <c r="J333" s="3">
        <f>COUNTIFS('OOS Events'!$C:$C,B333,'OOS Events'!$D:$D,C333,'OOS Events'!$E:$E,"&gt;="&amp;D333-90,'OOS Events'!$E:$E,"&lt;"&amp;D333)</f>
        <v>0</v>
      </c>
      <c r="K333" s="3">
        <f>COUNTIF('OOS Events'!$B:$B,A333)</f>
        <v>1</v>
      </c>
      <c r="L333" s="3">
        <v>2</v>
      </c>
      <c r="M333" s="3">
        <v>30</v>
      </c>
      <c r="N333" t="s">
        <v>21</v>
      </c>
    </row>
    <row r="334" spans="1:14" ht="15" customHeight="1">
      <c r="A334" t="s">
        <v>409</v>
      </c>
      <c r="B334" t="s">
        <v>273</v>
      </c>
      <c r="C334" s="8" t="s">
        <v>24</v>
      </c>
      <c r="D334" s="9" t="s">
        <v>25</v>
      </c>
      <c r="E334" t="s">
        <v>43</v>
      </c>
      <c r="F334" s="2">
        <v>45978</v>
      </c>
      <c r="G334" s="3">
        <v>20</v>
      </c>
      <c r="H334" s="2">
        <v>46013</v>
      </c>
      <c r="I334" s="2">
        <v>46011</v>
      </c>
      <c r="J334" s="3">
        <f>COUNTIFS('OOS Events'!$C:$C,B334,'OOS Events'!$D:$D,C334,'OOS Events'!$E:$E,"&gt;="&amp;D334-90,'OOS Events'!$E:$E,"&lt;"&amp;D334)</f>
        <v>0</v>
      </c>
      <c r="K334" s="3">
        <f>COUNTIF('OOS Events'!$B:$B,A334)</f>
        <v>1</v>
      </c>
      <c r="L334" s="3">
        <v>0</v>
      </c>
      <c r="M334" s="3">
        <v>28</v>
      </c>
      <c r="N334" t="s">
        <v>27</v>
      </c>
    </row>
    <row r="335" spans="1:14" ht="15" customHeight="1">
      <c r="A335" t="s">
        <v>410</v>
      </c>
      <c r="B335" t="s">
        <v>23</v>
      </c>
      <c r="C335" s="8" t="s">
        <v>24</v>
      </c>
      <c r="D335" s="9" t="s">
        <v>25</v>
      </c>
      <c r="E335" t="s">
        <v>26</v>
      </c>
      <c r="F335" s="2">
        <v>45979</v>
      </c>
      <c r="G335" s="3">
        <v>21</v>
      </c>
      <c r="H335" s="2">
        <v>46001</v>
      </c>
      <c r="I335" s="4">
        <v>46004</v>
      </c>
      <c r="J335" s="3">
        <f>COUNTIFS('OOS Events'!$C:$C,B335,'OOS Events'!$D:$D,C335,'OOS Events'!$E:$E,"&gt;="&amp;D335-90,'OOS Events'!$E:$E,"&lt;"&amp;D335)</f>
        <v>0</v>
      </c>
      <c r="K335" s="3">
        <f>COUNTIF('OOS Events'!$B:$B,A335)</f>
        <v>0</v>
      </c>
      <c r="L335" s="3">
        <v>0</v>
      </c>
      <c r="M335" s="3">
        <v>27</v>
      </c>
      <c r="N335" t="s">
        <v>40</v>
      </c>
    </row>
    <row r="336" spans="1:14" ht="15" customHeight="1">
      <c r="A336" t="s">
        <v>411</v>
      </c>
      <c r="B336" t="s">
        <v>32</v>
      </c>
      <c r="C336" s="8" t="s">
        <v>33</v>
      </c>
      <c r="D336" s="9" t="s">
        <v>19</v>
      </c>
      <c r="E336" t="s">
        <v>34</v>
      </c>
      <c r="F336" s="2">
        <v>45979</v>
      </c>
      <c r="G336" s="3">
        <v>13</v>
      </c>
      <c r="H336" s="2">
        <v>46010</v>
      </c>
      <c r="I336" s="4">
        <v>46012</v>
      </c>
      <c r="J336" s="3">
        <f>COUNTIFS('OOS Events'!$C:$C,B336,'OOS Events'!$D:$D,C336,'OOS Events'!$E:$E,"&gt;="&amp;D336-90,'OOS Events'!$E:$E,"&lt;"&amp;D336)</f>
        <v>0</v>
      </c>
      <c r="K336" s="3">
        <f>COUNTIF('OOS Events'!$B:$B,A336)</f>
        <v>0</v>
      </c>
      <c r="L336" s="3">
        <v>0</v>
      </c>
      <c r="M336" s="3">
        <v>30</v>
      </c>
      <c r="N336" t="s">
        <v>35</v>
      </c>
    </row>
    <row r="337" spans="1:14" ht="15" customHeight="1">
      <c r="A337" t="s">
        <v>412</v>
      </c>
      <c r="B337" t="s">
        <v>97</v>
      </c>
      <c r="C337" s="8" t="s">
        <v>18</v>
      </c>
      <c r="D337" s="9" t="s">
        <v>19</v>
      </c>
      <c r="E337" t="s">
        <v>30</v>
      </c>
      <c r="F337" s="2">
        <v>45980</v>
      </c>
      <c r="G337" s="3">
        <v>12</v>
      </c>
      <c r="H337" s="2">
        <v>46008</v>
      </c>
      <c r="I337" s="2">
        <v>46008</v>
      </c>
      <c r="J337" s="3">
        <f>COUNTIFS('OOS Events'!$C:$C,B337,'OOS Events'!$D:$D,C337,'OOS Events'!$E:$E,"&gt;="&amp;D337-90,'OOS Events'!$E:$E,"&lt;"&amp;D337)</f>
        <v>0</v>
      </c>
      <c r="K337" s="3">
        <f>COUNTIF('OOS Events'!$B:$B,A337)</f>
        <v>0</v>
      </c>
      <c r="L337" s="3">
        <v>0</v>
      </c>
      <c r="M337" s="3">
        <v>19</v>
      </c>
      <c r="N337" t="s">
        <v>47</v>
      </c>
    </row>
    <row r="338" spans="1:14" ht="15" customHeight="1">
      <c r="A338" t="s">
        <v>413</v>
      </c>
      <c r="B338" t="s">
        <v>37</v>
      </c>
      <c r="C338" s="8" t="s">
        <v>38</v>
      </c>
      <c r="D338" s="9" t="s">
        <v>39</v>
      </c>
      <c r="E338" t="s">
        <v>26</v>
      </c>
      <c r="F338" s="2">
        <v>45982</v>
      </c>
      <c r="G338" s="3">
        <v>14</v>
      </c>
      <c r="H338" s="2">
        <v>46005</v>
      </c>
      <c r="I338" s="4">
        <v>46006</v>
      </c>
      <c r="J338" s="3">
        <f>COUNTIFS('OOS Events'!$C:$C,B338,'OOS Events'!$D:$D,C338,'OOS Events'!$E:$E,"&gt;="&amp;D338-90,'OOS Events'!$E:$E,"&lt;"&amp;D338)</f>
        <v>0</v>
      </c>
      <c r="K338" s="3">
        <f>COUNTIF('OOS Events'!$B:$B,A338)</f>
        <v>1</v>
      </c>
      <c r="L338" s="3">
        <v>0</v>
      </c>
      <c r="M338" s="3">
        <v>19</v>
      </c>
      <c r="N338" t="s">
        <v>44</v>
      </c>
    </row>
    <row r="339" spans="1:14" ht="15" customHeight="1">
      <c r="A339" t="s">
        <v>414</v>
      </c>
      <c r="B339" t="s">
        <v>42</v>
      </c>
      <c r="C339" s="8" t="s">
        <v>24</v>
      </c>
      <c r="D339" s="9" t="s">
        <v>25</v>
      </c>
      <c r="E339" t="s">
        <v>43</v>
      </c>
      <c r="F339" s="2">
        <v>45983</v>
      </c>
      <c r="G339" s="3">
        <v>21</v>
      </c>
      <c r="H339" s="2">
        <v>46019</v>
      </c>
      <c r="I339" s="4">
        <v>46020</v>
      </c>
      <c r="J339" s="3">
        <f>COUNTIFS('OOS Events'!$C:$C,B339,'OOS Events'!$D:$D,C339,'OOS Events'!$E:$E,"&gt;="&amp;D339-90,'OOS Events'!$E:$E,"&lt;"&amp;D339)</f>
        <v>0</v>
      </c>
      <c r="K339" s="3">
        <f>COUNTIF('OOS Events'!$B:$B,A339)</f>
        <v>0</v>
      </c>
      <c r="L339" s="3">
        <v>1</v>
      </c>
      <c r="M339" s="3">
        <v>30</v>
      </c>
      <c r="N339" t="s">
        <v>27</v>
      </c>
    </row>
    <row r="340" spans="1:14" ht="15" customHeight="1">
      <c r="A340" t="s">
        <v>415</v>
      </c>
      <c r="B340" t="s">
        <v>49</v>
      </c>
      <c r="C340" s="8" t="s">
        <v>33</v>
      </c>
      <c r="D340" s="9" t="s">
        <v>19</v>
      </c>
      <c r="E340" t="s">
        <v>30</v>
      </c>
      <c r="F340" s="2">
        <v>45983</v>
      </c>
      <c r="G340" s="3">
        <v>13</v>
      </c>
      <c r="H340" s="2">
        <v>45999</v>
      </c>
      <c r="I340" s="2">
        <v>45998</v>
      </c>
      <c r="J340" s="3">
        <f>COUNTIFS('OOS Events'!$C:$C,B340,'OOS Events'!$D:$D,C340,'OOS Events'!$E:$E,"&gt;="&amp;D340-90,'OOS Events'!$E:$E,"&lt;"&amp;D340)</f>
        <v>0</v>
      </c>
      <c r="K340" s="3">
        <f>COUNTIF('OOS Events'!$B:$B,A340)</f>
        <v>0</v>
      </c>
      <c r="L340" s="3">
        <v>3</v>
      </c>
      <c r="M340" s="3">
        <v>13</v>
      </c>
      <c r="N340" t="s">
        <v>21</v>
      </c>
    </row>
    <row r="341" spans="1:14" ht="15" customHeight="1">
      <c r="A341" t="s">
        <v>416</v>
      </c>
      <c r="B341" t="s">
        <v>130</v>
      </c>
      <c r="C341" s="8" t="s">
        <v>71</v>
      </c>
      <c r="D341" s="9" t="s">
        <v>72</v>
      </c>
      <c r="E341" t="s">
        <v>43</v>
      </c>
      <c r="F341" s="2">
        <v>45984</v>
      </c>
      <c r="G341" s="3">
        <v>25</v>
      </c>
      <c r="H341" s="2">
        <v>46013</v>
      </c>
      <c r="I341" s="4">
        <v>46014</v>
      </c>
      <c r="J341" s="3">
        <f>COUNTIFS('OOS Events'!$C:$C,B341,'OOS Events'!$D:$D,C341,'OOS Events'!$E:$E,"&gt;="&amp;D341-90,'OOS Events'!$E:$E,"&lt;"&amp;D341)</f>
        <v>0</v>
      </c>
      <c r="K341" s="3">
        <f>COUNTIF('OOS Events'!$B:$B,A341)</f>
        <v>2</v>
      </c>
      <c r="L341" s="3">
        <v>1</v>
      </c>
      <c r="M341" s="3">
        <v>22</v>
      </c>
      <c r="N341" t="s">
        <v>35</v>
      </c>
    </row>
    <row r="342" spans="1:14" ht="15" customHeight="1">
      <c r="A342" t="s">
        <v>417</v>
      </c>
      <c r="B342" t="s">
        <v>51</v>
      </c>
      <c r="C342" s="8" t="s">
        <v>38</v>
      </c>
      <c r="D342" s="9" t="s">
        <v>39</v>
      </c>
      <c r="E342" t="s">
        <v>43</v>
      </c>
      <c r="F342" s="2">
        <v>45986</v>
      </c>
      <c r="G342" s="3">
        <v>18</v>
      </c>
      <c r="H342" s="2">
        <v>46012</v>
      </c>
      <c r="I342" s="4">
        <v>46015</v>
      </c>
      <c r="J342" s="3">
        <f>COUNTIFS('OOS Events'!$C:$C,B342,'OOS Events'!$D:$D,C342,'OOS Events'!$E:$E,"&gt;="&amp;D342-90,'OOS Events'!$E:$E,"&lt;"&amp;D342)</f>
        <v>0</v>
      </c>
      <c r="K342" s="3">
        <f>COUNTIF('OOS Events'!$B:$B,A342)</f>
        <v>0</v>
      </c>
      <c r="L342" s="3">
        <v>0</v>
      </c>
      <c r="M342" s="3">
        <v>26</v>
      </c>
      <c r="N342" t="s">
        <v>40</v>
      </c>
    </row>
    <row r="343" spans="1:14" ht="15" customHeight="1">
      <c r="A343" t="s">
        <v>418</v>
      </c>
      <c r="B343" t="s">
        <v>53</v>
      </c>
      <c r="C343" s="8" t="s">
        <v>24</v>
      </c>
      <c r="D343" s="9" t="s">
        <v>25</v>
      </c>
      <c r="E343" t="s">
        <v>30</v>
      </c>
      <c r="F343" s="2">
        <v>45987</v>
      </c>
      <c r="G343" s="3">
        <v>22</v>
      </c>
      <c r="H343" s="2">
        <v>46010</v>
      </c>
      <c r="I343" s="4">
        <v>46015</v>
      </c>
      <c r="J343" s="3">
        <f>COUNTIFS('OOS Events'!$C:$C,B343,'OOS Events'!$D:$D,C343,'OOS Events'!$E:$E,"&gt;="&amp;D343-90,'OOS Events'!$E:$E,"&lt;"&amp;D343)</f>
        <v>0</v>
      </c>
      <c r="K343" s="3">
        <f>COUNTIF('OOS Events'!$B:$B,A343)</f>
        <v>0</v>
      </c>
      <c r="L343" s="3">
        <v>2</v>
      </c>
      <c r="M343" s="3">
        <v>14</v>
      </c>
      <c r="N343" t="s">
        <v>44</v>
      </c>
    </row>
    <row r="344" spans="1:14" ht="15" customHeight="1">
      <c r="A344" t="s">
        <v>419</v>
      </c>
      <c r="B344" t="s">
        <v>57</v>
      </c>
      <c r="C344" s="8" t="s">
        <v>24</v>
      </c>
      <c r="D344" s="9" t="s">
        <v>25</v>
      </c>
      <c r="E344" t="s">
        <v>20</v>
      </c>
      <c r="F344" s="2">
        <v>45987</v>
      </c>
      <c r="G344" s="3">
        <v>19</v>
      </c>
      <c r="H344" s="2">
        <v>46014</v>
      </c>
      <c r="I344" s="2">
        <v>46014</v>
      </c>
      <c r="J344" s="3">
        <f>COUNTIFS('OOS Events'!$C:$C,B344,'OOS Events'!$D:$D,C344,'OOS Events'!$E:$E,"&gt;="&amp;D344-90,'OOS Events'!$E:$E,"&lt;"&amp;D344)</f>
        <v>0</v>
      </c>
      <c r="K344" s="3">
        <f>COUNTIF('OOS Events'!$B:$B,A344)</f>
        <v>0</v>
      </c>
      <c r="L344" s="3">
        <v>0</v>
      </c>
      <c r="M344" s="3">
        <v>12</v>
      </c>
      <c r="N344" t="s">
        <v>47</v>
      </c>
    </row>
    <row r="345" spans="1:14" ht="15" customHeight="1">
      <c r="A345" t="s">
        <v>420</v>
      </c>
      <c r="B345" t="s">
        <v>163</v>
      </c>
      <c r="C345" s="8" t="s">
        <v>71</v>
      </c>
      <c r="D345" s="9" t="s">
        <v>72</v>
      </c>
      <c r="E345" t="s">
        <v>26</v>
      </c>
      <c r="F345" s="2">
        <v>45988</v>
      </c>
      <c r="G345" s="3">
        <v>17</v>
      </c>
      <c r="H345" s="2">
        <v>46006</v>
      </c>
      <c r="I345" s="4">
        <v>46007</v>
      </c>
      <c r="J345" s="3">
        <f>COUNTIFS('OOS Events'!$C:$C,B345,'OOS Events'!$D:$D,C345,'OOS Events'!$E:$E,"&gt;="&amp;D345-90,'OOS Events'!$E:$E,"&lt;"&amp;D345)</f>
        <v>0</v>
      </c>
      <c r="K345" s="3">
        <f>COUNTIF('OOS Events'!$B:$B,A345)</f>
        <v>0</v>
      </c>
      <c r="L345" s="3">
        <v>0</v>
      </c>
      <c r="M345" s="3">
        <v>32</v>
      </c>
      <c r="N345" t="s">
        <v>21</v>
      </c>
    </row>
    <row r="346" spans="1:14" ht="15" customHeight="1">
      <c r="A346" t="s">
        <v>421</v>
      </c>
      <c r="B346" t="s">
        <v>59</v>
      </c>
      <c r="C346" s="8" t="s">
        <v>24</v>
      </c>
      <c r="D346" s="9" t="s">
        <v>25</v>
      </c>
      <c r="E346" t="s">
        <v>60</v>
      </c>
      <c r="F346" s="2">
        <v>45990</v>
      </c>
      <c r="G346" s="3">
        <v>19</v>
      </c>
      <c r="H346" s="2">
        <v>46029</v>
      </c>
      <c r="I346" s="2">
        <v>46029</v>
      </c>
      <c r="J346" s="3">
        <f>COUNTIFS('OOS Events'!$C:$C,B346,'OOS Events'!$D:$D,C346,'OOS Events'!$E:$E,"&gt;="&amp;D346-90,'OOS Events'!$E:$E,"&lt;"&amp;D346)</f>
        <v>0</v>
      </c>
      <c r="K346" s="3">
        <f>COUNTIF('OOS Events'!$B:$B,A346)</f>
        <v>0</v>
      </c>
      <c r="L346" s="3">
        <v>0</v>
      </c>
      <c r="M346" s="3">
        <v>34</v>
      </c>
      <c r="N346" t="s">
        <v>27</v>
      </c>
    </row>
    <row r="347" spans="1:14" ht="15" customHeight="1">
      <c r="A347" t="s">
        <v>422</v>
      </c>
      <c r="B347" t="s">
        <v>64</v>
      </c>
      <c r="C347" s="8" t="s">
        <v>24</v>
      </c>
      <c r="D347" s="9" t="s">
        <v>25</v>
      </c>
      <c r="E347" t="s">
        <v>20</v>
      </c>
      <c r="F347" s="2">
        <v>45990</v>
      </c>
      <c r="G347" s="3">
        <v>16</v>
      </c>
      <c r="H347" s="2">
        <v>46004</v>
      </c>
      <c r="I347" s="2">
        <v>46004</v>
      </c>
      <c r="J347" s="3">
        <f>COUNTIFS('OOS Events'!$C:$C,B347,'OOS Events'!$D:$D,C347,'OOS Events'!$E:$E,"&gt;="&amp;D347-90,'OOS Events'!$E:$E,"&lt;"&amp;D347)</f>
        <v>0</v>
      </c>
      <c r="K347" s="3">
        <f>COUNTIF('OOS Events'!$B:$B,A347)</f>
        <v>0</v>
      </c>
      <c r="L347" s="3">
        <v>0</v>
      </c>
      <c r="M347" s="3">
        <v>10</v>
      </c>
      <c r="N347" t="s">
        <v>21</v>
      </c>
    </row>
    <row r="348" spans="1:14" ht="15" customHeight="1">
      <c r="A348" t="s">
        <v>423</v>
      </c>
      <c r="B348" t="s">
        <v>109</v>
      </c>
      <c r="C348" s="8" t="s">
        <v>24</v>
      </c>
      <c r="D348" s="9" t="s">
        <v>25</v>
      </c>
      <c r="E348" t="s">
        <v>26</v>
      </c>
      <c r="F348" s="2">
        <v>45991</v>
      </c>
      <c r="G348" s="3">
        <v>16</v>
      </c>
      <c r="H348" s="2">
        <v>46026</v>
      </c>
      <c r="I348" s="4">
        <v>46028</v>
      </c>
      <c r="J348" s="3">
        <f>COUNTIFS('OOS Events'!$C:$C,B348,'OOS Events'!$D:$D,C348,'OOS Events'!$E:$E,"&gt;="&amp;D348-90,'OOS Events'!$E:$E,"&lt;"&amp;D348)</f>
        <v>0</v>
      </c>
      <c r="K348" s="3">
        <f>COUNTIF('OOS Events'!$B:$B,A348)</f>
        <v>0</v>
      </c>
      <c r="L348" s="3">
        <v>0</v>
      </c>
      <c r="M348" s="3">
        <v>41</v>
      </c>
      <c r="N348" t="s">
        <v>35</v>
      </c>
    </row>
    <row r="349" spans="1:14" ht="15" customHeight="1">
      <c r="A349" t="s">
        <v>424</v>
      </c>
      <c r="B349" t="s">
        <v>196</v>
      </c>
      <c r="C349" s="8" t="s">
        <v>71</v>
      </c>
      <c r="D349" s="9" t="s">
        <v>72</v>
      </c>
      <c r="E349" t="s">
        <v>43</v>
      </c>
      <c r="F349" s="2">
        <v>45992</v>
      </c>
      <c r="G349" s="3">
        <v>26</v>
      </c>
      <c r="H349" s="2">
        <v>46022</v>
      </c>
      <c r="I349" s="4">
        <v>46030</v>
      </c>
      <c r="J349" s="3">
        <f>COUNTIFS('OOS Events'!$C:$C,B349,'OOS Events'!$D:$D,C349,'OOS Events'!$E:$E,"&gt;="&amp;D349-90,'OOS Events'!$E:$E,"&lt;"&amp;D349)</f>
        <v>0</v>
      </c>
      <c r="K349" s="3">
        <f>COUNTIF('OOS Events'!$B:$B,A349)</f>
        <v>0</v>
      </c>
      <c r="L349" s="3">
        <v>0</v>
      </c>
      <c r="M349" s="3">
        <v>29</v>
      </c>
      <c r="N349" t="s">
        <v>47</v>
      </c>
    </row>
    <row r="350" spans="1:14" ht="15" customHeight="1">
      <c r="A350" t="s">
        <v>425</v>
      </c>
      <c r="B350" t="s">
        <v>66</v>
      </c>
      <c r="C350" s="8" t="s">
        <v>24</v>
      </c>
      <c r="D350" s="9" t="s">
        <v>25</v>
      </c>
      <c r="E350" t="s">
        <v>34</v>
      </c>
      <c r="F350" s="2">
        <v>45994</v>
      </c>
      <c r="G350" s="3">
        <v>17</v>
      </c>
      <c r="H350" s="2">
        <v>46021</v>
      </c>
      <c r="I350" s="2">
        <v>46021</v>
      </c>
      <c r="J350" s="3">
        <f>COUNTIFS('OOS Events'!$C:$C,B350,'OOS Events'!$D:$D,C350,'OOS Events'!$E:$E,"&gt;="&amp;D350-90,'OOS Events'!$E:$E,"&lt;"&amp;D350)</f>
        <v>0</v>
      </c>
      <c r="K350" s="3">
        <f>COUNTIF('OOS Events'!$B:$B,A350)</f>
        <v>0</v>
      </c>
      <c r="L350" s="3">
        <v>0</v>
      </c>
      <c r="M350" s="3">
        <v>12</v>
      </c>
      <c r="N350" t="s">
        <v>44</v>
      </c>
    </row>
    <row r="351" spans="1:14" ht="15" customHeight="1">
      <c r="A351" t="s">
        <v>426</v>
      </c>
      <c r="B351" t="s">
        <v>70</v>
      </c>
      <c r="C351" s="8" t="s">
        <v>71</v>
      </c>
      <c r="D351" s="9" t="s">
        <v>72</v>
      </c>
      <c r="E351" t="s">
        <v>26</v>
      </c>
      <c r="F351" s="2">
        <v>45994</v>
      </c>
      <c r="G351" s="3">
        <v>19</v>
      </c>
      <c r="H351" s="2">
        <v>46027</v>
      </c>
      <c r="I351" s="4">
        <v>46032</v>
      </c>
      <c r="J351" s="3">
        <f>COUNTIFS('OOS Events'!$C:$C,B351,'OOS Events'!$D:$D,C351,'OOS Events'!$E:$E,"&gt;="&amp;D351-90,'OOS Events'!$E:$E,"&lt;"&amp;D351)</f>
        <v>0</v>
      </c>
      <c r="K351" s="3">
        <f>COUNTIF('OOS Events'!$B:$B,A351)</f>
        <v>0</v>
      </c>
      <c r="L351" s="3">
        <v>2</v>
      </c>
      <c r="M351" s="3">
        <v>11</v>
      </c>
      <c r="N351" t="s">
        <v>47</v>
      </c>
    </row>
    <row r="352" spans="1:14" ht="15" customHeight="1">
      <c r="A352" t="s">
        <v>427</v>
      </c>
      <c r="B352" t="s">
        <v>142</v>
      </c>
      <c r="C352" s="8" t="s">
        <v>71</v>
      </c>
      <c r="D352" s="9" t="s">
        <v>72</v>
      </c>
      <c r="E352" t="s">
        <v>34</v>
      </c>
      <c r="F352" s="2">
        <v>45995</v>
      </c>
      <c r="G352" s="3">
        <v>17</v>
      </c>
      <c r="H352" s="2">
        <v>46008</v>
      </c>
      <c r="I352" s="4">
        <v>46010</v>
      </c>
      <c r="J352" s="3">
        <f>COUNTIFS('OOS Events'!$C:$C,B352,'OOS Events'!$D:$D,C352,'OOS Events'!$E:$E,"&gt;="&amp;D352-90,'OOS Events'!$E:$E,"&lt;"&amp;D352)</f>
        <v>0</v>
      </c>
      <c r="K352" s="3">
        <f>COUNTIF('OOS Events'!$B:$B,A352)</f>
        <v>0</v>
      </c>
      <c r="L352" s="3">
        <v>2</v>
      </c>
      <c r="M352" s="3">
        <v>28</v>
      </c>
      <c r="N352" t="s">
        <v>21</v>
      </c>
    </row>
    <row r="353" spans="1:14" ht="15" customHeight="1">
      <c r="A353" t="s">
        <v>428</v>
      </c>
      <c r="B353" t="s">
        <v>229</v>
      </c>
      <c r="C353" s="8" t="s">
        <v>33</v>
      </c>
      <c r="D353" s="9" t="s">
        <v>19</v>
      </c>
      <c r="E353" t="s">
        <v>60</v>
      </c>
      <c r="F353" s="2">
        <v>45996</v>
      </c>
      <c r="G353" s="3">
        <v>16</v>
      </c>
      <c r="H353" s="2">
        <v>46029</v>
      </c>
      <c r="I353" s="2">
        <v>46027</v>
      </c>
      <c r="J353" s="3">
        <f>COUNTIFS('OOS Events'!$C:$C,B353,'OOS Events'!$D:$D,C353,'OOS Events'!$E:$E,"&gt;="&amp;D353-90,'OOS Events'!$E:$E,"&lt;"&amp;D353)</f>
        <v>0</v>
      </c>
      <c r="K353" s="3">
        <f>COUNTIF('OOS Events'!$B:$B,A353)</f>
        <v>2</v>
      </c>
      <c r="L353" s="3">
        <v>0</v>
      </c>
      <c r="M353" s="3">
        <v>29</v>
      </c>
      <c r="N353" t="s">
        <v>35</v>
      </c>
    </row>
    <row r="354" spans="1:14" ht="15" customHeight="1">
      <c r="A354" t="s">
        <v>429</v>
      </c>
      <c r="B354" t="s">
        <v>74</v>
      </c>
      <c r="C354" s="8" t="s">
        <v>75</v>
      </c>
      <c r="D354" s="9" t="s">
        <v>72</v>
      </c>
      <c r="E354" t="s">
        <v>26</v>
      </c>
      <c r="F354" s="2">
        <v>45998</v>
      </c>
      <c r="G354" s="3">
        <v>22</v>
      </c>
      <c r="H354" s="2">
        <v>46016</v>
      </c>
      <c r="I354" s="4">
        <v>46019</v>
      </c>
      <c r="J354" s="3">
        <f>COUNTIFS('OOS Events'!$C:$C,B354,'OOS Events'!$D:$D,C354,'OOS Events'!$E:$E,"&gt;="&amp;D354-90,'OOS Events'!$E:$E,"&lt;"&amp;D354)</f>
        <v>0</v>
      </c>
      <c r="K354" s="3">
        <f>COUNTIF('OOS Events'!$B:$B,A354)</f>
        <v>0</v>
      </c>
      <c r="L354" s="3">
        <v>1</v>
      </c>
      <c r="M354" s="3">
        <v>35</v>
      </c>
      <c r="N354" t="s">
        <v>40</v>
      </c>
    </row>
    <row r="355" spans="1:14" ht="15" customHeight="1">
      <c r="A355" t="s">
        <v>430</v>
      </c>
      <c r="B355" t="s">
        <v>174</v>
      </c>
      <c r="C355" s="8" t="s">
        <v>71</v>
      </c>
      <c r="D355" s="9" t="s">
        <v>72</v>
      </c>
      <c r="E355" t="s">
        <v>60</v>
      </c>
      <c r="F355" s="2">
        <v>45999</v>
      </c>
      <c r="G355" s="3">
        <v>27</v>
      </c>
      <c r="H355" s="2">
        <v>46031</v>
      </c>
      <c r="I355" s="4">
        <v>46043</v>
      </c>
      <c r="J355" s="3">
        <f>COUNTIFS('OOS Events'!$C:$C,B355,'OOS Events'!$D:$D,C355,'OOS Events'!$E:$E,"&gt;="&amp;D355-90,'OOS Events'!$E:$E,"&lt;"&amp;D355)</f>
        <v>0</v>
      </c>
      <c r="K355" s="3">
        <f>COUNTIF('OOS Events'!$B:$B,A355)</f>
        <v>1</v>
      </c>
      <c r="L355" s="3">
        <v>0</v>
      </c>
      <c r="M355" s="3">
        <v>20</v>
      </c>
      <c r="N355" t="s">
        <v>47</v>
      </c>
    </row>
    <row r="356" spans="1:14" ht="15" customHeight="1">
      <c r="A356" t="s">
        <v>431</v>
      </c>
      <c r="B356" t="s">
        <v>263</v>
      </c>
      <c r="C356" s="8" t="s">
        <v>33</v>
      </c>
      <c r="D356" s="9" t="s">
        <v>19</v>
      </c>
      <c r="E356" t="s">
        <v>34</v>
      </c>
      <c r="F356" s="2">
        <v>46000</v>
      </c>
      <c r="G356" s="3">
        <v>10</v>
      </c>
      <c r="H356" s="2">
        <v>46015</v>
      </c>
      <c r="I356" s="2">
        <v>46013</v>
      </c>
      <c r="J356" s="3">
        <f>COUNTIFS('OOS Events'!$C:$C,B356,'OOS Events'!$D:$D,C356,'OOS Events'!$E:$E,"&gt;="&amp;D356-90,'OOS Events'!$E:$E,"&lt;"&amp;D356)</f>
        <v>0</v>
      </c>
      <c r="K356" s="3">
        <f>COUNTIF('OOS Events'!$B:$B,A356)</f>
        <v>1</v>
      </c>
      <c r="L356" s="3">
        <v>0</v>
      </c>
      <c r="M356" s="3">
        <v>31</v>
      </c>
      <c r="N356" t="s">
        <v>21</v>
      </c>
    </row>
    <row r="357" spans="1:14" ht="15" customHeight="1">
      <c r="A357" t="s">
        <v>432</v>
      </c>
      <c r="B357" t="s">
        <v>206</v>
      </c>
      <c r="C357" s="8" t="s">
        <v>71</v>
      </c>
      <c r="D357" s="9" t="s">
        <v>72</v>
      </c>
      <c r="E357" t="s">
        <v>34</v>
      </c>
      <c r="F357" s="2">
        <v>46003</v>
      </c>
      <c r="G357" s="3">
        <v>13</v>
      </c>
      <c r="H357" s="2">
        <v>46035</v>
      </c>
      <c r="I357" s="4">
        <v>46037</v>
      </c>
      <c r="J357" s="3">
        <f>COUNTIFS('OOS Events'!$C:$C,B357,'OOS Events'!$D:$D,C357,'OOS Events'!$E:$E,"&gt;="&amp;D357-90,'OOS Events'!$E:$E,"&lt;"&amp;D357)</f>
        <v>0</v>
      </c>
      <c r="K357" s="3">
        <f>COUNTIF('OOS Events'!$B:$B,A357)</f>
        <v>1</v>
      </c>
      <c r="L357" s="3">
        <v>1</v>
      </c>
      <c r="M357" s="3">
        <v>34</v>
      </c>
      <c r="N357" t="s">
        <v>35</v>
      </c>
    </row>
    <row r="358" spans="1:14" ht="15" customHeight="1">
      <c r="A358" t="s">
        <v>433</v>
      </c>
      <c r="B358" t="s">
        <v>295</v>
      </c>
      <c r="C358" s="8" t="s">
        <v>33</v>
      </c>
      <c r="D358" s="9" t="s">
        <v>19</v>
      </c>
      <c r="E358" t="s">
        <v>26</v>
      </c>
      <c r="F358" s="2">
        <v>46004</v>
      </c>
      <c r="G358" s="3">
        <v>24</v>
      </c>
      <c r="H358" s="2">
        <v>46031</v>
      </c>
      <c r="I358" s="2">
        <v>46028</v>
      </c>
      <c r="J358" s="3">
        <f>COUNTIFS('OOS Events'!$C:$C,B358,'OOS Events'!$D:$D,C358,'OOS Events'!$E:$E,"&gt;="&amp;D358-90,'OOS Events'!$E:$E,"&lt;"&amp;D358)</f>
        <v>0</v>
      </c>
      <c r="K358" s="3">
        <f>COUNTIF('OOS Events'!$B:$B,A358)</f>
        <v>0</v>
      </c>
      <c r="L358" s="3">
        <v>1</v>
      </c>
      <c r="M358" s="3">
        <v>20</v>
      </c>
      <c r="N358" t="s">
        <v>47</v>
      </c>
    </row>
    <row r="359" spans="1:14" ht="15" customHeight="1">
      <c r="A359" t="s">
        <v>434</v>
      </c>
      <c r="B359" t="s">
        <v>238</v>
      </c>
      <c r="C359" s="8" t="s">
        <v>239</v>
      </c>
      <c r="D359" s="9" t="s">
        <v>240</v>
      </c>
      <c r="E359" t="s">
        <v>30</v>
      </c>
      <c r="F359" s="2">
        <v>46007</v>
      </c>
      <c r="G359" s="3">
        <v>14</v>
      </c>
      <c r="H359" s="2">
        <v>46022</v>
      </c>
      <c r="I359" s="4">
        <v>46023</v>
      </c>
      <c r="J359" s="3">
        <f>COUNTIFS('OOS Events'!$C:$C,B359,'OOS Events'!$D:$D,C359,'OOS Events'!$E:$E,"&gt;="&amp;D359-90,'OOS Events'!$E:$E,"&lt;"&amp;D359)</f>
        <v>0</v>
      </c>
      <c r="K359" s="3">
        <f>COUNTIF('OOS Events'!$B:$B,A359)</f>
        <v>0</v>
      </c>
      <c r="L359" s="3">
        <v>1</v>
      </c>
      <c r="M359" s="3">
        <v>28</v>
      </c>
      <c r="N359" t="s">
        <v>21</v>
      </c>
    </row>
    <row r="360" spans="1:14" ht="15" customHeight="1">
      <c r="A360" t="s">
        <v>435</v>
      </c>
      <c r="B360" t="s">
        <v>87</v>
      </c>
      <c r="C360" s="8" t="s">
        <v>71</v>
      </c>
      <c r="D360" s="9" t="s">
        <v>72</v>
      </c>
      <c r="E360" t="s">
        <v>20</v>
      </c>
      <c r="F360" s="2">
        <v>46008</v>
      </c>
      <c r="G360" s="3">
        <v>17</v>
      </c>
      <c r="H360" s="2">
        <v>46044</v>
      </c>
      <c r="I360" s="4">
        <v>46049</v>
      </c>
      <c r="J360" s="3">
        <f>COUNTIFS('OOS Events'!$C:$C,B360,'OOS Events'!$D:$D,C360,'OOS Events'!$E:$E,"&gt;="&amp;D360-90,'OOS Events'!$E:$E,"&lt;"&amp;D360)</f>
        <v>0</v>
      </c>
      <c r="K360" s="3">
        <f>COUNTIF('OOS Events'!$B:$B,A360)</f>
        <v>0</v>
      </c>
      <c r="L360" s="3">
        <v>0</v>
      </c>
      <c r="M360" s="3">
        <v>44</v>
      </c>
      <c r="N360" t="s">
        <v>35</v>
      </c>
    </row>
    <row r="361" spans="1:14" ht="15" customHeight="1">
      <c r="A361" t="s">
        <v>436</v>
      </c>
      <c r="B361" t="s">
        <v>17</v>
      </c>
      <c r="C361" s="8" t="s">
        <v>18</v>
      </c>
      <c r="D361" s="9" t="s">
        <v>19</v>
      </c>
      <c r="E361" t="s">
        <v>34</v>
      </c>
      <c r="F361" s="2">
        <v>46009</v>
      </c>
      <c r="G361" s="3">
        <v>12</v>
      </c>
      <c r="H361" s="2">
        <v>46038</v>
      </c>
      <c r="I361" s="4">
        <v>46040</v>
      </c>
      <c r="J361" s="3">
        <f>COUNTIFS('OOS Events'!$C:$C,B361,'OOS Events'!$D:$D,C361,'OOS Events'!$E:$E,"&gt;="&amp;D361-90,'OOS Events'!$E:$E,"&lt;"&amp;D361)</f>
        <v>0</v>
      </c>
      <c r="K361" s="3">
        <f>COUNTIF('OOS Events'!$B:$B,A361)</f>
        <v>0</v>
      </c>
      <c r="L361" s="3">
        <v>2</v>
      </c>
      <c r="M361" s="3">
        <v>35</v>
      </c>
      <c r="N361" t="s">
        <v>44</v>
      </c>
    </row>
    <row r="362" spans="1:14" ht="15" customHeight="1">
      <c r="A362" t="s">
        <v>437</v>
      </c>
      <c r="B362" t="s">
        <v>273</v>
      </c>
      <c r="C362" s="8" t="s">
        <v>24</v>
      </c>
      <c r="D362" s="9" t="s">
        <v>25</v>
      </c>
      <c r="E362" t="s">
        <v>20</v>
      </c>
      <c r="F362" s="2">
        <v>46011</v>
      </c>
      <c r="G362" s="3">
        <v>20</v>
      </c>
      <c r="H362" s="2">
        <v>46036</v>
      </c>
      <c r="I362" s="4">
        <v>46041</v>
      </c>
      <c r="J362" s="3">
        <f>COUNTIFS('OOS Events'!$C:$C,B362,'OOS Events'!$D:$D,C362,'OOS Events'!$E:$E,"&gt;="&amp;D362-90,'OOS Events'!$E:$E,"&lt;"&amp;D362)</f>
        <v>0</v>
      </c>
      <c r="K362" s="3">
        <f>COUNTIF('OOS Events'!$B:$B,A362)</f>
        <v>0</v>
      </c>
      <c r="L362" s="3">
        <v>0</v>
      </c>
      <c r="M362" s="3">
        <v>14</v>
      </c>
      <c r="N362" t="s">
        <v>47</v>
      </c>
    </row>
    <row r="363" spans="1:14" ht="15" customHeight="1">
      <c r="A363" t="s">
        <v>438</v>
      </c>
      <c r="B363" t="s">
        <v>23</v>
      </c>
      <c r="C363" s="8" t="s">
        <v>24</v>
      </c>
      <c r="D363" s="9" t="s">
        <v>25</v>
      </c>
      <c r="E363" t="s">
        <v>26</v>
      </c>
      <c r="F363" s="2">
        <v>46012</v>
      </c>
      <c r="G363" s="3">
        <v>21</v>
      </c>
      <c r="H363" s="2">
        <v>46030</v>
      </c>
      <c r="I363" s="4">
        <v>46038</v>
      </c>
      <c r="J363" s="3">
        <f>COUNTIFS('OOS Events'!$C:$C,B363,'OOS Events'!$D:$D,C363,'OOS Events'!$E:$E,"&gt;="&amp;D363-90,'OOS Events'!$E:$E,"&lt;"&amp;D363)</f>
        <v>0</v>
      </c>
      <c r="K363" s="3">
        <f>COUNTIF('OOS Events'!$B:$B,A363)</f>
        <v>0</v>
      </c>
      <c r="L363" s="3">
        <v>0</v>
      </c>
      <c r="M363" s="3">
        <v>13</v>
      </c>
      <c r="N363" t="s">
        <v>21</v>
      </c>
    </row>
    <row r="364" spans="1:14" ht="15" customHeight="1">
      <c r="A364" t="s">
        <v>439</v>
      </c>
      <c r="B364" t="s">
        <v>97</v>
      </c>
      <c r="C364" s="8" t="s">
        <v>18</v>
      </c>
      <c r="D364" s="9" t="s">
        <v>19</v>
      </c>
      <c r="E364" t="s">
        <v>30</v>
      </c>
      <c r="F364" s="2">
        <v>46013</v>
      </c>
      <c r="G364" s="3">
        <v>16</v>
      </c>
      <c r="H364" s="2">
        <v>46035</v>
      </c>
      <c r="I364" s="2">
        <v>46033</v>
      </c>
      <c r="J364" s="3">
        <f>COUNTIFS('OOS Events'!$C:$C,B364,'OOS Events'!$D:$D,C364,'OOS Events'!$E:$E,"&gt;="&amp;D364-90,'OOS Events'!$E:$E,"&lt;"&amp;D364)</f>
        <v>0</v>
      </c>
      <c r="K364" s="3">
        <f>COUNTIF('OOS Events'!$B:$B,A364)</f>
        <v>1</v>
      </c>
      <c r="L364" s="3">
        <v>0</v>
      </c>
      <c r="M364" s="3">
        <v>18</v>
      </c>
      <c r="N364" t="s">
        <v>40</v>
      </c>
    </row>
    <row r="365" spans="1:14" ht="15" customHeight="1">
      <c r="A365" t="s">
        <v>440</v>
      </c>
      <c r="B365" t="s">
        <v>37</v>
      </c>
      <c r="C365" s="8" t="s">
        <v>38</v>
      </c>
      <c r="D365" s="9" t="s">
        <v>39</v>
      </c>
      <c r="E365" t="s">
        <v>60</v>
      </c>
      <c r="F365" s="2">
        <v>46015</v>
      </c>
      <c r="G365" s="3">
        <v>22</v>
      </c>
      <c r="H365" s="2">
        <v>46047</v>
      </c>
      <c r="I365" s="4">
        <v>46055</v>
      </c>
      <c r="J365" s="3">
        <f>COUNTIFS('OOS Events'!$C:$C,B365,'OOS Events'!$D:$D,C365,'OOS Events'!$E:$E,"&gt;="&amp;D365-90,'OOS Events'!$E:$E,"&lt;"&amp;D365)</f>
        <v>0</v>
      </c>
      <c r="K365" s="3">
        <f>COUNTIF('OOS Events'!$B:$B,A365)</f>
        <v>0</v>
      </c>
      <c r="L365" s="3">
        <v>1</v>
      </c>
      <c r="M365" s="3">
        <v>33</v>
      </c>
      <c r="N365" t="s">
        <v>35</v>
      </c>
    </row>
    <row r="366" spans="1:14" ht="15" customHeight="1">
      <c r="A366" t="s">
        <v>441</v>
      </c>
      <c r="B366" t="s">
        <v>42</v>
      </c>
      <c r="C366" s="8" t="s">
        <v>24</v>
      </c>
      <c r="D366" s="9" t="s">
        <v>25</v>
      </c>
      <c r="E366" t="s">
        <v>43</v>
      </c>
      <c r="F366" s="2">
        <v>46016</v>
      </c>
      <c r="G366" s="3">
        <v>17</v>
      </c>
      <c r="H366" s="2">
        <v>46049</v>
      </c>
      <c r="I366" s="4">
        <v>46061</v>
      </c>
      <c r="J366" s="3">
        <f>COUNTIFS('OOS Events'!$C:$C,B366,'OOS Events'!$D:$D,C366,'OOS Events'!$E:$E,"&gt;="&amp;D366-90,'OOS Events'!$E:$E,"&lt;"&amp;D366)</f>
        <v>0</v>
      </c>
      <c r="K366" s="3">
        <f>COUNTIF('OOS Events'!$B:$B,A366)</f>
        <v>2</v>
      </c>
      <c r="L366" s="3">
        <v>0</v>
      </c>
      <c r="M366" s="3">
        <v>17</v>
      </c>
      <c r="N366" t="s">
        <v>47</v>
      </c>
    </row>
    <row r="367" spans="1:14" ht="15" customHeight="1">
      <c r="A367" t="s">
        <v>442</v>
      </c>
      <c r="B367" t="s">
        <v>49</v>
      </c>
      <c r="C367" s="8" t="s">
        <v>33</v>
      </c>
      <c r="D367" s="9" t="s">
        <v>19</v>
      </c>
      <c r="E367" t="s">
        <v>30</v>
      </c>
      <c r="F367" s="2">
        <v>46016</v>
      </c>
      <c r="G367" s="3">
        <v>18</v>
      </c>
      <c r="H367" s="2">
        <v>46041</v>
      </c>
      <c r="I367" s="2">
        <v>46041</v>
      </c>
      <c r="J367" s="3">
        <f>COUNTIFS('OOS Events'!$C:$C,B367,'OOS Events'!$D:$D,C367,'OOS Events'!$E:$E,"&gt;="&amp;D367-90,'OOS Events'!$E:$E,"&lt;"&amp;D367)</f>
        <v>0</v>
      </c>
      <c r="K367" s="3">
        <f>COUNTIF('OOS Events'!$B:$B,A367)</f>
        <v>1</v>
      </c>
      <c r="L367" s="3">
        <v>0</v>
      </c>
      <c r="M367" s="3">
        <v>17</v>
      </c>
      <c r="N367" t="s">
        <v>44</v>
      </c>
    </row>
    <row r="368" spans="1:14" ht="15" customHeight="1">
      <c r="A368" t="s">
        <v>443</v>
      </c>
      <c r="B368" t="s">
        <v>130</v>
      </c>
      <c r="C368" s="8" t="s">
        <v>71</v>
      </c>
      <c r="D368" s="9" t="s">
        <v>72</v>
      </c>
      <c r="E368" t="s">
        <v>20</v>
      </c>
      <c r="F368" s="2">
        <v>46017</v>
      </c>
      <c r="G368" s="3">
        <v>15</v>
      </c>
      <c r="H368" s="2">
        <v>46055</v>
      </c>
      <c r="I368" s="2">
        <v>46055</v>
      </c>
      <c r="J368" s="3">
        <f>COUNTIFS('OOS Events'!$C:$C,B368,'OOS Events'!$D:$D,C368,'OOS Events'!$E:$E,"&gt;="&amp;D368-90,'OOS Events'!$E:$E,"&lt;"&amp;D368)</f>
        <v>0</v>
      </c>
      <c r="K368" s="3">
        <f>COUNTIF('OOS Events'!$B:$B,A368)</f>
        <v>1</v>
      </c>
      <c r="L368" s="3">
        <v>1</v>
      </c>
      <c r="M368" s="3">
        <v>29</v>
      </c>
      <c r="N368" t="s">
        <v>27</v>
      </c>
    </row>
    <row r="369" spans="1:14" ht="15" customHeight="1">
      <c r="A369" t="s">
        <v>444</v>
      </c>
      <c r="B369" t="s">
        <v>51</v>
      </c>
      <c r="C369" s="8" t="s">
        <v>38</v>
      </c>
      <c r="D369" s="9" t="s">
        <v>39</v>
      </c>
      <c r="E369" t="s">
        <v>43</v>
      </c>
      <c r="F369" s="2">
        <v>46019</v>
      </c>
      <c r="G369" s="3">
        <v>14</v>
      </c>
      <c r="H369" s="2">
        <v>46034</v>
      </c>
      <c r="I369" s="2">
        <v>46031</v>
      </c>
      <c r="J369" s="3">
        <f>COUNTIFS('OOS Events'!$C:$C,B369,'OOS Events'!$D:$D,C369,'OOS Events'!$E:$E,"&gt;="&amp;D369-90,'OOS Events'!$E:$E,"&lt;"&amp;D369)</f>
        <v>0</v>
      </c>
      <c r="K369" s="3">
        <f>COUNTIF('OOS Events'!$B:$B,A369)</f>
        <v>1</v>
      </c>
      <c r="L369" s="3">
        <v>3</v>
      </c>
      <c r="M369" s="3">
        <v>31</v>
      </c>
      <c r="N369" t="s">
        <v>21</v>
      </c>
    </row>
    <row r="370" spans="1:14" ht="15" customHeight="1">
      <c r="A370" t="s">
        <v>445</v>
      </c>
      <c r="B370" t="s">
        <v>53</v>
      </c>
      <c r="C370" s="8" t="s">
        <v>24</v>
      </c>
      <c r="D370" s="9" t="s">
        <v>25</v>
      </c>
      <c r="E370" t="s">
        <v>60</v>
      </c>
      <c r="F370" s="2">
        <v>46020</v>
      </c>
      <c r="G370" s="3">
        <v>18</v>
      </c>
      <c r="H370" s="2">
        <v>46057</v>
      </c>
      <c r="I370" s="4">
        <v>46058</v>
      </c>
      <c r="J370" s="3">
        <f>COUNTIFS('OOS Events'!$C:$C,B370,'OOS Events'!$D:$D,C370,'OOS Events'!$E:$E,"&gt;="&amp;D370-90,'OOS Events'!$E:$E,"&lt;"&amp;D370)</f>
        <v>0</v>
      </c>
      <c r="K370" s="3">
        <f>COUNTIF('OOS Events'!$B:$B,A370)</f>
        <v>0</v>
      </c>
      <c r="L370" s="3">
        <v>1</v>
      </c>
      <c r="M370" s="3">
        <v>30</v>
      </c>
      <c r="N370" t="s">
        <v>35</v>
      </c>
    </row>
    <row r="371" spans="1:14" ht="15" customHeight="1">
      <c r="A371" t="s">
        <v>446</v>
      </c>
      <c r="B371" t="s">
        <v>57</v>
      </c>
      <c r="C371" s="8" t="s">
        <v>24</v>
      </c>
      <c r="D371" s="9" t="s">
        <v>25</v>
      </c>
      <c r="E371" t="s">
        <v>20</v>
      </c>
      <c r="F371" s="2">
        <v>46020</v>
      </c>
      <c r="G371" s="3">
        <v>21</v>
      </c>
      <c r="H371" s="2">
        <v>46038</v>
      </c>
      <c r="I371" s="4">
        <v>46050</v>
      </c>
      <c r="J371" s="3">
        <f>COUNTIFS('OOS Events'!$C:$C,B371,'OOS Events'!$D:$D,C371,'OOS Events'!$E:$E,"&gt;="&amp;D371-90,'OOS Events'!$E:$E,"&lt;"&amp;D371)</f>
        <v>0</v>
      </c>
      <c r="K371" s="3">
        <f>COUNTIF('OOS Events'!$B:$B,A371)</f>
        <v>1</v>
      </c>
      <c r="L371" s="3">
        <v>1</v>
      </c>
      <c r="M371" s="3">
        <v>30</v>
      </c>
      <c r="N371" t="s">
        <v>40</v>
      </c>
    </row>
    <row r="372" spans="1:14" ht="15" customHeight="1">
      <c r="A372" t="s">
        <v>447</v>
      </c>
      <c r="B372" t="s">
        <v>163</v>
      </c>
      <c r="C372" s="8" t="s">
        <v>71</v>
      </c>
      <c r="D372" s="9" t="s">
        <v>72</v>
      </c>
      <c r="E372" t="s">
        <v>60</v>
      </c>
      <c r="F372" s="2">
        <v>46021</v>
      </c>
      <c r="G372" s="3">
        <v>20</v>
      </c>
      <c r="H372" s="2">
        <v>46045</v>
      </c>
      <c r="I372" s="4">
        <v>46057</v>
      </c>
      <c r="J372" s="3">
        <f>COUNTIFS('OOS Events'!$C:$C,B372,'OOS Events'!$D:$D,C372,'OOS Events'!$E:$E,"&gt;="&amp;D372-90,'OOS Events'!$E:$E,"&lt;"&amp;D372)</f>
        <v>0</v>
      </c>
      <c r="K372" s="3">
        <f>COUNTIF('OOS Events'!$B:$B,A372)</f>
        <v>1</v>
      </c>
      <c r="L372" s="3">
        <v>0</v>
      </c>
      <c r="M372" s="3">
        <v>31</v>
      </c>
      <c r="N372" t="s">
        <v>44</v>
      </c>
    </row>
    <row r="373" spans="1:14" ht="15" customHeight="1">
      <c r="A373" t="s">
        <v>448</v>
      </c>
      <c r="B373" t="s">
        <v>59</v>
      </c>
      <c r="C373" s="8" t="s">
        <v>24</v>
      </c>
      <c r="D373" s="9" t="s">
        <v>25</v>
      </c>
      <c r="E373" t="s">
        <v>60</v>
      </c>
      <c r="F373" s="2">
        <v>46023</v>
      </c>
      <c r="G373" s="3">
        <v>20</v>
      </c>
      <c r="H373" s="2">
        <v>46049</v>
      </c>
      <c r="I373" s="2">
        <v>46049</v>
      </c>
      <c r="J373" s="3">
        <f>COUNTIFS('OOS Events'!$C:$C,B373,'OOS Events'!$D:$D,C373,'OOS Events'!$E:$E,"&gt;="&amp;D373-90,'OOS Events'!$E:$E,"&lt;"&amp;D373)</f>
        <v>0</v>
      </c>
      <c r="K373" s="3">
        <f>COUNTIF('OOS Events'!$B:$B,A373)</f>
        <v>1</v>
      </c>
      <c r="L373" s="3">
        <v>1</v>
      </c>
      <c r="M373" s="3">
        <v>17</v>
      </c>
      <c r="N373" t="s">
        <v>47</v>
      </c>
    </row>
    <row r="374" spans="1:14" ht="15" customHeight="1">
      <c r="A374" t="s">
        <v>449</v>
      </c>
      <c r="B374" t="s">
        <v>62</v>
      </c>
      <c r="C374" s="8" t="s">
        <v>33</v>
      </c>
      <c r="D374" s="9" t="s">
        <v>19</v>
      </c>
      <c r="E374" t="s">
        <v>20</v>
      </c>
      <c r="F374" s="2">
        <v>46024</v>
      </c>
      <c r="G374" s="3">
        <v>22</v>
      </c>
      <c r="H374" s="2">
        <v>46036</v>
      </c>
      <c r="I374" s="4">
        <v>46041</v>
      </c>
      <c r="J374" s="3">
        <f>COUNTIFS('OOS Events'!$C:$C,B374,'OOS Events'!$D:$D,C374,'OOS Events'!$E:$E,"&gt;="&amp;D374-90,'OOS Events'!$E:$E,"&lt;"&amp;D374)</f>
        <v>0</v>
      </c>
      <c r="K374" s="3">
        <f>COUNTIF('OOS Events'!$B:$B,A374)</f>
        <v>0</v>
      </c>
      <c r="L374" s="3">
        <v>0</v>
      </c>
      <c r="M374" s="3">
        <v>17</v>
      </c>
      <c r="N374" t="s">
        <v>21</v>
      </c>
    </row>
    <row r="375" spans="1:14" ht="15" customHeight="1">
      <c r="A375" t="s">
        <v>450</v>
      </c>
      <c r="B375" t="s">
        <v>109</v>
      </c>
      <c r="C375" s="8" t="s">
        <v>24</v>
      </c>
      <c r="D375" s="9" t="s">
        <v>25</v>
      </c>
      <c r="E375" t="s">
        <v>26</v>
      </c>
      <c r="F375" s="2">
        <v>46024</v>
      </c>
      <c r="G375" s="3">
        <v>16</v>
      </c>
      <c r="H375" s="2">
        <v>46060</v>
      </c>
      <c r="I375" s="4">
        <v>46063</v>
      </c>
      <c r="J375" s="3">
        <f>COUNTIFS('OOS Events'!$C:$C,B375,'OOS Events'!$D:$D,C375,'OOS Events'!$E:$E,"&gt;="&amp;D375-90,'OOS Events'!$E:$E,"&lt;"&amp;D375)</f>
        <v>0</v>
      </c>
      <c r="K375" s="3">
        <f>COUNTIF('OOS Events'!$B:$B,A375)</f>
        <v>0</v>
      </c>
      <c r="L375" s="3">
        <v>1</v>
      </c>
      <c r="M375" s="3">
        <v>42</v>
      </c>
      <c r="N375" t="s">
        <v>27</v>
      </c>
    </row>
    <row r="376" spans="1:14" ht="15" customHeight="1">
      <c r="A376" t="s">
        <v>451</v>
      </c>
      <c r="B376" t="s">
        <v>196</v>
      </c>
      <c r="C376" s="8" t="s">
        <v>71</v>
      </c>
      <c r="D376" s="9" t="s">
        <v>72</v>
      </c>
      <c r="E376" t="s">
        <v>43</v>
      </c>
      <c r="F376" s="2">
        <v>46025</v>
      </c>
      <c r="G376" s="3">
        <v>21</v>
      </c>
      <c r="H376" s="2">
        <v>46046</v>
      </c>
      <c r="I376" s="4">
        <v>46049</v>
      </c>
      <c r="J376" s="3">
        <f>COUNTIFS('OOS Events'!$C:$C,B376,'OOS Events'!$D:$D,C376,'OOS Events'!$E:$E,"&gt;="&amp;D376-90,'OOS Events'!$E:$E,"&lt;"&amp;D376)</f>
        <v>0</v>
      </c>
      <c r="K376" s="3">
        <f>COUNTIF('OOS Events'!$B:$B,A376)</f>
        <v>0</v>
      </c>
      <c r="L376" s="3">
        <v>0</v>
      </c>
      <c r="M376" s="3">
        <v>13</v>
      </c>
      <c r="N376" t="s">
        <v>40</v>
      </c>
    </row>
    <row r="377" spans="1:14" ht="15" customHeight="1">
      <c r="A377" t="s">
        <v>452</v>
      </c>
      <c r="B377" t="s">
        <v>66</v>
      </c>
      <c r="C377" s="8" t="s">
        <v>24</v>
      </c>
      <c r="D377" s="9" t="s">
        <v>25</v>
      </c>
      <c r="E377" t="s">
        <v>34</v>
      </c>
      <c r="F377" s="2">
        <v>46027</v>
      </c>
      <c r="G377" s="3">
        <v>15</v>
      </c>
      <c r="H377" s="2">
        <v>46056</v>
      </c>
      <c r="I377" s="4">
        <v>46057</v>
      </c>
      <c r="J377" s="3">
        <f>COUNTIFS('OOS Events'!$C:$C,B377,'OOS Events'!$D:$D,C377,'OOS Events'!$E:$E,"&gt;="&amp;D377-90,'OOS Events'!$E:$E,"&lt;"&amp;D377)</f>
        <v>0</v>
      </c>
      <c r="K377" s="3">
        <f>COUNTIF('OOS Events'!$B:$B,A377)</f>
        <v>0</v>
      </c>
      <c r="L377" s="3">
        <v>0</v>
      </c>
      <c r="M377" s="3">
        <v>30</v>
      </c>
      <c r="N377" t="s">
        <v>35</v>
      </c>
    </row>
    <row r="378" spans="1:14" ht="15" customHeight="1">
      <c r="A378" t="s">
        <v>453</v>
      </c>
      <c r="B378" t="s">
        <v>70</v>
      </c>
      <c r="C378" s="8" t="s">
        <v>71</v>
      </c>
      <c r="D378" s="9" t="s">
        <v>72</v>
      </c>
      <c r="E378" t="s">
        <v>26</v>
      </c>
      <c r="F378" s="2">
        <v>46027</v>
      </c>
      <c r="G378" s="3">
        <v>19</v>
      </c>
      <c r="H378" s="2">
        <v>46047</v>
      </c>
      <c r="I378" s="4">
        <v>46052</v>
      </c>
      <c r="J378" s="3">
        <f>COUNTIFS('OOS Events'!$C:$C,B378,'OOS Events'!$D:$D,C378,'OOS Events'!$E:$E,"&gt;="&amp;D378-90,'OOS Events'!$E:$E,"&lt;"&amp;D378)</f>
        <v>0</v>
      </c>
      <c r="K378" s="3">
        <f>COUNTIF('OOS Events'!$B:$B,A378)</f>
        <v>1</v>
      </c>
      <c r="L378" s="3">
        <v>0</v>
      </c>
      <c r="M378" s="3">
        <v>29</v>
      </c>
      <c r="N378" t="s">
        <v>40</v>
      </c>
    </row>
    <row r="379" spans="1:14" ht="15" customHeight="1">
      <c r="A379" t="s">
        <v>454</v>
      </c>
      <c r="B379" t="s">
        <v>142</v>
      </c>
      <c r="C379" s="8" t="s">
        <v>71</v>
      </c>
      <c r="D379" s="9" t="s">
        <v>72</v>
      </c>
      <c r="E379" t="s">
        <v>43</v>
      </c>
      <c r="F379" s="2">
        <v>46028</v>
      </c>
      <c r="G379" s="3">
        <v>24</v>
      </c>
      <c r="H379" s="2">
        <v>46053</v>
      </c>
      <c r="I379" s="2">
        <v>46053</v>
      </c>
      <c r="J379" s="3">
        <f>COUNTIFS('OOS Events'!$C:$C,B379,'OOS Events'!$D:$D,C379,'OOS Events'!$E:$E,"&gt;="&amp;D379-90,'OOS Events'!$E:$E,"&lt;"&amp;D379)</f>
        <v>0</v>
      </c>
      <c r="K379" s="3">
        <f>COUNTIF('OOS Events'!$B:$B,A379)</f>
        <v>1</v>
      </c>
      <c r="L379" s="3">
        <v>1</v>
      </c>
      <c r="M379" s="3">
        <v>20</v>
      </c>
      <c r="N379" t="s">
        <v>44</v>
      </c>
    </row>
    <row r="380" spans="1:14" ht="15" customHeight="1">
      <c r="A380" t="s">
        <v>455</v>
      </c>
      <c r="B380" t="s">
        <v>229</v>
      </c>
      <c r="C380" s="8" t="s">
        <v>33</v>
      </c>
      <c r="D380" s="9" t="s">
        <v>19</v>
      </c>
      <c r="E380" t="s">
        <v>60</v>
      </c>
      <c r="F380" s="2">
        <v>46029</v>
      </c>
      <c r="G380" s="3">
        <v>24</v>
      </c>
      <c r="H380" s="2">
        <v>46066</v>
      </c>
      <c r="I380" s="4">
        <v>46068</v>
      </c>
      <c r="J380" s="3">
        <f>COUNTIFS('OOS Events'!$C:$C,B380,'OOS Events'!$D:$D,C380,'OOS Events'!$E:$E,"&gt;="&amp;D380-90,'OOS Events'!$E:$E,"&lt;"&amp;D380)</f>
        <v>0</v>
      </c>
      <c r="K380" s="3">
        <f>COUNTIF('OOS Events'!$B:$B,A380)</f>
        <v>0</v>
      </c>
      <c r="L380" s="3">
        <v>2</v>
      </c>
      <c r="M380" s="3">
        <v>27</v>
      </c>
      <c r="N380" t="s">
        <v>27</v>
      </c>
    </row>
    <row r="381" spans="1:14" ht="15" customHeight="1">
      <c r="A381" t="s">
        <v>456</v>
      </c>
      <c r="B381" t="s">
        <v>74</v>
      </c>
      <c r="C381" s="8" t="s">
        <v>75</v>
      </c>
      <c r="D381" s="9" t="s">
        <v>72</v>
      </c>
      <c r="E381" t="s">
        <v>30</v>
      </c>
      <c r="F381" s="2">
        <v>46031</v>
      </c>
      <c r="G381" s="3">
        <v>16</v>
      </c>
      <c r="H381" s="2">
        <v>46051</v>
      </c>
      <c r="I381" s="4">
        <v>46052</v>
      </c>
      <c r="J381" s="3">
        <f>COUNTIFS('OOS Events'!$C:$C,B381,'OOS Events'!$D:$D,C381,'OOS Events'!$E:$E,"&gt;="&amp;D381-90,'OOS Events'!$E:$E,"&lt;"&amp;D381)</f>
        <v>0</v>
      </c>
      <c r="K381" s="3">
        <f>COUNTIF('OOS Events'!$B:$B,A381)</f>
        <v>1</v>
      </c>
      <c r="L381" s="3">
        <v>3</v>
      </c>
      <c r="M381" s="3">
        <v>12</v>
      </c>
      <c r="N381" t="s">
        <v>21</v>
      </c>
    </row>
    <row r="382" spans="1:14" ht="15" customHeight="1">
      <c r="A382" t="s">
        <v>457</v>
      </c>
      <c r="B382" t="s">
        <v>174</v>
      </c>
      <c r="C382" s="8" t="s">
        <v>71</v>
      </c>
      <c r="D382" s="9" t="s">
        <v>72</v>
      </c>
      <c r="E382" t="s">
        <v>30</v>
      </c>
      <c r="F382" s="2">
        <v>46032</v>
      </c>
      <c r="G382" s="3">
        <v>14</v>
      </c>
      <c r="H382" s="2">
        <v>46051</v>
      </c>
      <c r="I382" s="4">
        <v>46052</v>
      </c>
      <c r="J382" s="3">
        <f>COUNTIFS('OOS Events'!$C:$C,B382,'OOS Events'!$D:$D,C382,'OOS Events'!$E:$E,"&gt;="&amp;D382-90,'OOS Events'!$E:$E,"&lt;"&amp;D382)</f>
        <v>0</v>
      </c>
      <c r="K382" s="3">
        <f>COUNTIF('OOS Events'!$B:$B,A382)</f>
        <v>1</v>
      </c>
      <c r="L382" s="3">
        <v>0</v>
      </c>
      <c r="M382" s="3">
        <v>34</v>
      </c>
      <c r="N382" t="s">
        <v>40</v>
      </c>
    </row>
    <row r="383" spans="1:14" ht="15" customHeight="1">
      <c r="A383" t="s">
        <v>458</v>
      </c>
      <c r="B383" t="s">
        <v>263</v>
      </c>
      <c r="C383" s="8" t="s">
        <v>33</v>
      </c>
      <c r="D383" s="9" t="s">
        <v>19</v>
      </c>
      <c r="E383" t="s">
        <v>34</v>
      </c>
      <c r="F383" s="2">
        <v>46033</v>
      </c>
      <c r="G383" s="3">
        <v>13</v>
      </c>
      <c r="H383" s="2">
        <v>46059</v>
      </c>
      <c r="I383" s="2">
        <v>46059</v>
      </c>
      <c r="J383" s="3">
        <f>COUNTIFS('OOS Events'!$C:$C,B383,'OOS Events'!$D:$D,C383,'OOS Events'!$E:$E,"&gt;="&amp;D383-90,'OOS Events'!$E:$E,"&lt;"&amp;D383)</f>
        <v>0</v>
      </c>
      <c r="K383" s="3">
        <f>COUNTIF('OOS Events'!$B:$B,A383)</f>
        <v>0</v>
      </c>
      <c r="L383" s="3">
        <v>0</v>
      </c>
      <c r="M383" s="3">
        <v>18</v>
      </c>
      <c r="N383" t="s">
        <v>44</v>
      </c>
    </row>
    <row r="384" spans="1:14" ht="15" customHeight="1">
      <c r="A384" t="s">
        <v>459</v>
      </c>
      <c r="B384" t="s">
        <v>79</v>
      </c>
      <c r="C384" s="8" t="s">
        <v>33</v>
      </c>
      <c r="D384" s="9" t="s">
        <v>19</v>
      </c>
      <c r="E384" t="s">
        <v>43</v>
      </c>
      <c r="F384" s="2">
        <v>46035</v>
      </c>
      <c r="G384" s="3">
        <v>24</v>
      </c>
      <c r="H384" s="2">
        <v>46067</v>
      </c>
      <c r="I384" s="4">
        <v>46069</v>
      </c>
      <c r="J384" s="3">
        <f>COUNTIFS('OOS Events'!$C:$C,B384,'OOS Events'!$D:$D,C384,'OOS Events'!$E:$E,"&gt;="&amp;D384-90,'OOS Events'!$E:$E,"&lt;"&amp;D384)</f>
        <v>0</v>
      </c>
      <c r="K384" s="3">
        <f>COUNTIF('OOS Events'!$B:$B,A384)</f>
        <v>0</v>
      </c>
      <c r="L384" s="3">
        <v>0</v>
      </c>
      <c r="M384" s="3">
        <v>25</v>
      </c>
      <c r="N384" t="s">
        <v>47</v>
      </c>
    </row>
    <row r="385" spans="1:14" ht="15" customHeight="1">
      <c r="A385" t="s">
        <v>460</v>
      </c>
      <c r="B385" t="s">
        <v>206</v>
      </c>
      <c r="C385" s="8" t="s">
        <v>71</v>
      </c>
      <c r="D385" s="9" t="s">
        <v>72</v>
      </c>
      <c r="E385" t="s">
        <v>34</v>
      </c>
      <c r="F385" s="2">
        <v>46036</v>
      </c>
      <c r="G385" s="3">
        <v>9</v>
      </c>
      <c r="H385" s="2">
        <v>46076</v>
      </c>
      <c r="I385" s="4">
        <v>46084</v>
      </c>
      <c r="J385" s="3">
        <f>COUNTIFS('OOS Events'!$C:$C,B385,'OOS Events'!$D:$D,C385,'OOS Events'!$E:$E,"&gt;="&amp;D385-90,'OOS Events'!$E:$E,"&lt;"&amp;D385)</f>
        <v>0</v>
      </c>
      <c r="K385" s="3">
        <f>COUNTIF('OOS Events'!$B:$B,A385)</f>
        <v>0</v>
      </c>
      <c r="L385" s="3">
        <v>0</v>
      </c>
      <c r="M385" s="3">
        <v>18</v>
      </c>
      <c r="N385" t="s">
        <v>27</v>
      </c>
    </row>
    <row r="386" spans="1:14" ht="15" customHeight="1">
      <c r="A386" t="s">
        <v>461</v>
      </c>
      <c r="B386" t="s">
        <v>295</v>
      </c>
      <c r="C386" s="8" t="s">
        <v>33</v>
      </c>
      <c r="D386" s="9" t="s">
        <v>19</v>
      </c>
      <c r="E386" t="s">
        <v>30</v>
      </c>
      <c r="F386" s="2">
        <v>46037</v>
      </c>
      <c r="G386" s="3">
        <v>12</v>
      </c>
      <c r="H386" s="2">
        <v>46058</v>
      </c>
      <c r="I386" s="4">
        <v>46060</v>
      </c>
      <c r="J386" s="3">
        <f>COUNTIFS('OOS Events'!$C:$C,B386,'OOS Events'!$D:$D,C386,'OOS Events'!$E:$E,"&gt;="&amp;D386-90,'OOS Events'!$E:$E,"&lt;"&amp;D386)</f>
        <v>0</v>
      </c>
      <c r="K386" s="3">
        <f>COUNTIF('OOS Events'!$B:$B,A386)</f>
        <v>2</v>
      </c>
      <c r="L386" s="3">
        <v>1</v>
      </c>
      <c r="M386" s="3">
        <v>25</v>
      </c>
      <c r="N386" t="s">
        <v>40</v>
      </c>
    </row>
    <row r="387" spans="1:14" ht="15" customHeight="1">
      <c r="A387" t="s">
        <v>462</v>
      </c>
      <c r="B387" t="s">
        <v>238</v>
      </c>
      <c r="C387" s="8" t="s">
        <v>239</v>
      </c>
      <c r="D387" s="9" t="s">
        <v>240</v>
      </c>
      <c r="E387" t="s">
        <v>30</v>
      </c>
      <c r="F387" s="2">
        <v>46040</v>
      </c>
      <c r="G387" s="3">
        <v>20</v>
      </c>
      <c r="H387" s="2">
        <v>46066</v>
      </c>
      <c r="I387" s="4">
        <v>46069</v>
      </c>
      <c r="J387" s="3">
        <f>COUNTIFS('OOS Events'!$C:$C,B387,'OOS Events'!$D:$D,C387,'OOS Events'!$E:$E,"&gt;="&amp;D387-90,'OOS Events'!$E:$E,"&lt;"&amp;D387)</f>
        <v>0</v>
      </c>
      <c r="K387" s="3">
        <f>COUNTIF('OOS Events'!$B:$B,A387)</f>
        <v>0</v>
      </c>
      <c r="L387" s="3">
        <v>0</v>
      </c>
      <c r="M387" s="3">
        <v>27</v>
      </c>
      <c r="N387" t="s">
        <v>44</v>
      </c>
    </row>
    <row r="388" spans="1:14" ht="15" customHeight="1">
      <c r="A388" t="s">
        <v>463</v>
      </c>
      <c r="B388" t="s">
        <v>87</v>
      </c>
      <c r="C388" s="8" t="s">
        <v>71</v>
      </c>
      <c r="D388" s="9" t="s">
        <v>72</v>
      </c>
      <c r="E388" t="s">
        <v>43</v>
      </c>
      <c r="F388" s="2">
        <v>46041</v>
      </c>
      <c r="G388" s="3">
        <v>24</v>
      </c>
      <c r="H388" s="2">
        <v>46083</v>
      </c>
      <c r="I388" s="2">
        <v>46083</v>
      </c>
      <c r="J388" s="3">
        <f>COUNTIFS('OOS Events'!$C:$C,B388,'OOS Events'!$D:$D,C388,'OOS Events'!$E:$E,"&gt;="&amp;D388-90,'OOS Events'!$E:$E,"&lt;"&amp;D388)</f>
        <v>0</v>
      </c>
      <c r="K388" s="3">
        <f>COUNTIF('OOS Events'!$B:$B,A388)</f>
        <v>0</v>
      </c>
      <c r="L388" s="3">
        <v>0</v>
      </c>
      <c r="M388" s="3">
        <v>45</v>
      </c>
      <c r="N388" t="s">
        <v>27</v>
      </c>
    </row>
    <row r="389" spans="1:14" ht="15" customHeight="1">
      <c r="A389" t="s">
        <v>464</v>
      </c>
      <c r="B389" t="s">
        <v>17</v>
      </c>
      <c r="C389" s="8" t="s">
        <v>18</v>
      </c>
      <c r="D389" s="9" t="s">
        <v>19</v>
      </c>
      <c r="E389" t="s">
        <v>34</v>
      </c>
      <c r="F389" s="2">
        <v>46042</v>
      </c>
      <c r="G389" s="3">
        <v>10</v>
      </c>
      <c r="H389" s="2">
        <v>46073</v>
      </c>
      <c r="I389" s="4">
        <v>46078</v>
      </c>
      <c r="J389" s="3">
        <f>COUNTIFS('OOS Events'!$C:$C,B389,'OOS Events'!$D:$D,C389,'OOS Events'!$E:$E,"&gt;="&amp;D389-90,'OOS Events'!$E:$E,"&lt;"&amp;D389)</f>
        <v>0</v>
      </c>
      <c r="K389" s="3">
        <f>COUNTIF('OOS Events'!$B:$B,A389)</f>
        <v>0</v>
      </c>
      <c r="L389" s="3">
        <v>1</v>
      </c>
      <c r="M389" s="3">
        <v>36</v>
      </c>
      <c r="N389" t="s">
        <v>35</v>
      </c>
    </row>
    <row r="390" spans="1:14" ht="15" customHeight="1">
      <c r="A390" t="s">
        <v>465</v>
      </c>
      <c r="B390" t="s">
        <v>273</v>
      </c>
      <c r="C390" s="8" t="s">
        <v>24</v>
      </c>
      <c r="D390" s="9" t="s">
        <v>25</v>
      </c>
      <c r="E390" t="s">
        <v>20</v>
      </c>
      <c r="F390" s="2">
        <v>46044</v>
      </c>
      <c r="G390" s="3">
        <v>13</v>
      </c>
      <c r="H390" s="2">
        <v>46069</v>
      </c>
      <c r="I390" s="4">
        <v>46074</v>
      </c>
      <c r="J390" s="3">
        <f>COUNTIFS('OOS Events'!$C:$C,B390,'OOS Events'!$D:$D,C390,'OOS Events'!$E:$E,"&gt;="&amp;D390-90,'OOS Events'!$E:$E,"&lt;"&amp;D390)</f>
        <v>0</v>
      </c>
      <c r="K390" s="3">
        <f>COUNTIF('OOS Events'!$B:$B,A390)</f>
        <v>2</v>
      </c>
      <c r="L390" s="3">
        <v>0</v>
      </c>
      <c r="M390" s="3">
        <v>36</v>
      </c>
      <c r="N390" t="s">
        <v>40</v>
      </c>
    </row>
    <row r="391" spans="1:14" ht="15" customHeight="1">
      <c r="A391" t="s">
        <v>466</v>
      </c>
      <c r="B391" t="s">
        <v>23</v>
      </c>
      <c r="C391" s="8" t="s">
        <v>24</v>
      </c>
      <c r="D391" s="9" t="s">
        <v>25</v>
      </c>
      <c r="E391" t="s">
        <v>26</v>
      </c>
      <c r="F391" s="2">
        <v>46045</v>
      </c>
      <c r="G391" s="3">
        <v>23</v>
      </c>
      <c r="H391" s="2">
        <v>46070</v>
      </c>
      <c r="I391" s="4">
        <v>46073</v>
      </c>
      <c r="J391" s="3">
        <f>COUNTIFS('OOS Events'!$C:$C,B391,'OOS Events'!$D:$D,C391,'OOS Events'!$E:$E,"&gt;="&amp;D391-90,'OOS Events'!$E:$E,"&lt;"&amp;D391)</f>
        <v>0</v>
      </c>
      <c r="K391" s="3">
        <f>COUNTIF('OOS Events'!$B:$B,A391)</f>
        <v>0</v>
      </c>
      <c r="L391" s="3">
        <v>1</v>
      </c>
      <c r="M391" s="3">
        <v>31</v>
      </c>
      <c r="N391" t="s">
        <v>44</v>
      </c>
    </row>
    <row r="392" spans="1:14" ht="15" customHeight="1">
      <c r="A392" t="s">
        <v>467</v>
      </c>
      <c r="B392" t="s">
        <v>97</v>
      </c>
      <c r="C392" s="8" t="s">
        <v>18</v>
      </c>
      <c r="D392" s="9" t="s">
        <v>19</v>
      </c>
      <c r="E392" t="s">
        <v>30</v>
      </c>
      <c r="F392" s="2">
        <v>46046</v>
      </c>
      <c r="G392" s="3">
        <v>22</v>
      </c>
      <c r="H392" s="2">
        <v>46066</v>
      </c>
      <c r="I392" s="2">
        <v>46066</v>
      </c>
      <c r="J392" s="3">
        <f>COUNTIFS('OOS Events'!$C:$C,B392,'OOS Events'!$D:$D,C392,'OOS Events'!$E:$E,"&gt;="&amp;D392-90,'OOS Events'!$E:$E,"&lt;"&amp;D392)</f>
        <v>0</v>
      </c>
      <c r="K392" s="3">
        <f>COUNTIF('OOS Events'!$B:$B,A392)</f>
        <v>1</v>
      </c>
      <c r="L392" s="3">
        <v>0</v>
      </c>
      <c r="M392" s="3">
        <v>29</v>
      </c>
      <c r="N392" t="s">
        <v>21</v>
      </c>
    </row>
    <row r="393" spans="1:14" ht="15" customHeight="1">
      <c r="A393" t="s">
        <v>468</v>
      </c>
      <c r="B393" t="s">
        <v>37</v>
      </c>
      <c r="C393" s="8" t="s">
        <v>38</v>
      </c>
      <c r="D393" s="9" t="s">
        <v>39</v>
      </c>
      <c r="E393" t="s">
        <v>26</v>
      </c>
      <c r="F393" s="2">
        <v>46048</v>
      </c>
      <c r="G393" s="3">
        <v>20</v>
      </c>
      <c r="H393" s="2">
        <v>46087</v>
      </c>
      <c r="I393" s="2">
        <v>46085</v>
      </c>
      <c r="J393" s="3">
        <f>COUNTIFS('OOS Events'!$C:$C,B393,'OOS Events'!$D:$D,C393,'OOS Events'!$E:$E,"&gt;="&amp;D393-90,'OOS Events'!$E:$E,"&lt;"&amp;D393)</f>
        <v>0</v>
      </c>
      <c r="K393" s="3">
        <f>COUNTIF('OOS Events'!$B:$B,A393)</f>
        <v>0</v>
      </c>
      <c r="L393" s="3">
        <v>0</v>
      </c>
      <c r="M393" s="3">
        <v>32</v>
      </c>
      <c r="N393" t="s">
        <v>27</v>
      </c>
    </row>
    <row r="394" spans="1:14" ht="15" customHeight="1">
      <c r="A394" t="s">
        <v>469</v>
      </c>
      <c r="B394" t="s">
        <v>42</v>
      </c>
      <c r="C394" s="8" t="s">
        <v>24</v>
      </c>
      <c r="D394" s="9" t="s">
        <v>25</v>
      </c>
      <c r="E394" t="s">
        <v>43</v>
      </c>
      <c r="F394" s="2">
        <v>46049</v>
      </c>
      <c r="G394" s="3">
        <v>25</v>
      </c>
      <c r="H394" s="2">
        <v>46075</v>
      </c>
      <c r="I394" s="4">
        <v>46076</v>
      </c>
      <c r="J394" s="3">
        <f>COUNTIFS('OOS Events'!$C:$C,B394,'OOS Events'!$D:$D,C394,'OOS Events'!$E:$E,"&gt;="&amp;D394-90,'OOS Events'!$E:$E,"&lt;"&amp;D394)</f>
        <v>0</v>
      </c>
      <c r="K394" s="3">
        <f>COUNTIF('OOS Events'!$B:$B,A394)</f>
        <v>0</v>
      </c>
      <c r="L394" s="3">
        <v>1</v>
      </c>
      <c r="M394" s="3">
        <v>20</v>
      </c>
      <c r="N394" t="s">
        <v>40</v>
      </c>
    </row>
    <row r="395" spans="1:14" ht="15" customHeight="1">
      <c r="A395" t="s">
        <v>470</v>
      </c>
      <c r="B395" t="s">
        <v>130</v>
      </c>
      <c r="C395" s="8" t="s">
        <v>71</v>
      </c>
      <c r="D395" s="9" t="s">
        <v>72</v>
      </c>
      <c r="E395" t="s">
        <v>20</v>
      </c>
      <c r="F395" s="2">
        <v>46050</v>
      </c>
      <c r="G395" s="3">
        <v>16</v>
      </c>
      <c r="H395" s="2">
        <v>46077</v>
      </c>
      <c r="I395" s="4">
        <v>46082</v>
      </c>
      <c r="J395" s="3">
        <f>COUNTIFS('OOS Events'!$C:$C,B395,'OOS Events'!$D:$D,C395,'OOS Events'!$E:$E,"&gt;="&amp;D395-90,'OOS Events'!$E:$E,"&lt;"&amp;D395)</f>
        <v>0</v>
      </c>
      <c r="K395" s="3">
        <f>COUNTIF('OOS Events'!$B:$B,A395)</f>
        <v>0</v>
      </c>
      <c r="L395" s="3">
        <v>1</v>
      </c>
      <c r="M395" s="3">
        <v>25</v>
      </c>
      <c r="N395" t="s">
        <v>47</v>
      </c>
    </row>
    <row r="396" spans="1:14" ht="15" customHeight="1">
      <c r="A396" t="s">
        <v>471</v>
      </c>
      <c r="B396" t="s">
        <v>51</v>
      </c>
      <c r="C396" s="8" t="s">
        <v>38</v>
      </c>
      <c r="D396" s="9" t="s">
        <v>39</v>
      </c>
      <c r="E396" t="s">
        <v>34</v>
      </c>
      <c r="F396" s="2">
        <v>46052</v>
      </c>
      <c r="G396" s="3">
        <v>19</v>
      </c>
      <c r="H396" s="2">
        <v>46079</v>
      </c>
      <c r="I396" s="2">
        <v>46079</v>
      </c>
      <c r="J396" s="3">
        <f>COUNTIFS('OOS Events'!$C:$C,B396,'OOS Events'!$D:$D,C396,'OOS Events'!$E:$E,"&gt;="&amp;D396-90,'OOS Events'!$E:$E,"&lt;"&amp;D396)</f>
        <v>0</v>
      </c>
      <c r="K396" s="3">
        <f>COUNTIF('OOS Events'!$B:$B,A396)</f>
        <v>0</v>
      </c>
      <c r="L396" s="3">
        <v>1</v>
      </c>
      <c r="M396" s="3">
        <v>34</v>
      </c>
      <c r="N396" t="s">
        <v>44</v>
      </c>
    </row>
    <row r="397" spans="1:14" ht="15" customHeight="1">
      <c r="A397" t="s">
        <v>472</v>
      </c>
      <c r="B397" t="s">
        <v>53</v>
      </c>
      <c r="C397" s="8" t="s">
        <v>24</v>
      </c>
      <c r="D397" s="9" t="s">
        <v>25</v>
      </c>
      <c r="E397" t="s">
        <v>60</v>
      </c>
      <c r="F397" s="2">
        <v>46053</v>
      </c>
      <c r="G397" s="3">
        <v>14</v>
      </c>
      <c r="H397" s="2">
        <v>46089</v>
      </c>
      <c r="I397" s="2">
        <v>46089</v>
      </c>
      <c r="J397" s="3">
        <f>COUNTIFS('OOS Events'!$C:$C,B397,'OOS Events'!$D:$D,C397,'OOS Events'!$E:$E,"&gt;="&amp;D397-90,'OOS Events'!$E:$E,"&lt;"&amp;D397)</f>
        <v>0</v>
      </c>
      <c r="K397" s="3">
        <f>COUNTIF('OOS Events'!$B:$B,A397)</f>
        <v>0</v>
      </c>
      <c r="L397" s="3">
        <v>0</v>
      </c>
      <c r="M397" s="3">
        <v>19</v>
      </c>
      <c r="N397" t="s">
        <v>27</v>
      </c>
    </row>
    <row r="398" spans="1:14" ht="15" customHeight="1">
      <c r="A398" t="s">
        <v>473</v>
      </c>
      <c r="B398" t="s">
        <v>57</v>
      </c>
      <c r="C398" s="8" t="s">
        <v>24</v>
      </c>
      <c r="D398" s="9" t="s">
        <v>25</v>
      </c>
      <c r="E398" t="s">
        <v>20</v>
      </c>
      <c r="F398" s="2">
        <v>46053</v>
      </c>
      <c r="G398" s="3">
        <v>17</v>
      </c>
      <c r="H398" s="2">
        <v>46073</v>
      </c>
      <c r="I398" s="4">
        <v>46074</v>
      </c>
      <c r="J398" s="3">
        <f>COUNTIFS('OOS Events'!$C:$C,B398,'OOS Events'!$D:$D,C398,'OOS Events'!$E:$E,"&gt;="&amp;D398-90,'OOS Events'!$E:$E,"&lt;"&amp;D398)</f>
        <v>0</v>
      </c>
      <c r="K398" s="3">
        <f>COUNTIF('OOS Events'!$B:$B,A398)</f>
        <v>1</v>
      </c>
      <c r="L398" s="3">
        <v>0</v>
      </c>
      <c r="M398" s="3">
        <v>21</v>
      </c>
      <c r="N398" t="s">
        <v>21</v>
      </c>
    </row>
    <row r="399" spans="1:14" ht="15" customHeight="1">
      <c r="A399" t="s">
        <v>474</v>
      </c>
      <c r="B399" t="s">
        <v>163</v>
      </c>
      <c r="C399" s="8" t="s">
        <v>71</v>
      </c>
      <c r="D399" s="9" t="s">
        <v>72</v>
      </c>
      <c r="E399" t="s">
        <v>26</v>
      </c>
      <c r="F399" s="2">
        <v>46054</v>
      </c>
      <c r="G399" s="3">
        <v>18</v>
      </c>
      <c r="H399" s="2">
        <v>46088</v>
      </c>
      <c r="I399" s="2">
        <v>46086</v>
      </c>
      <c r="J399" s="3">
        <f>COUNTIFS('OOS Events'!$C:$C,B399,'OOS Events'!$D:$D,C399,'OOS Events'!$E:$E,"&gt;="&amp;D399-90,'OOS Events'!$E:$E,"&lt;"&amp;D399)</f>
        <v>0</v>
      </c>
      <c r="K399" s="3">
        <f>COUNTIF('OOS Events'!$B:$B,A399)</f>
        <v>0</v>
      </c>
      <c r="L399" s="3">
        <v>0</v>
      </c>
      <c r="M399" s="3">
        <v>44</v>
      </c>
      <c r="N399" t="s">
        <v>35</v>
      </c>
    </row>
    <row r="400" spans="1:14" ht="15" customHeight="1">
      <c r="A400" t="s">
        <v>475</v>
      </c>
      <c r="B400" t="s">
        <v>59</v>
      </c>
      <c r="C400" s="8" t="s">
        <v>24</v>
      </c>
      <c r="D400" s="9" t="s">
        <v>25</v>
      </c>
      <c r="E400" t="s">
        <v>60</v>
      </c>
      <c r="F400" s="2">
        <v>46056</v>
      </c>
      <c r="G400" s="3">
        <v>24</v>
      </c>
      <c r="H400" s="2">
        <v>46076</v>
      </c>
      <c r="I400" s="2">
        <v>46075</v>
      </c>
      <c r="J400" s="3">
        <f>COUNTIFS('OOS Events'!$C:$C,B400,'OOS Events'!$D:$D,C400,'OOS Events'!$E:$E,"&gt;="&amp;D400-90,'OOS Events'!$E:$E,"&lt;"&amp;D400)</f>
        <v>0</v>
      </c>
      <c r="K400" s="3">
        <f>COUNTIF('OOS Events'!$B:$B,A400)</f>
        <v>1</v>
      </c>
      <c r="L400" s="3">
        <v>0</v>
      </c>
      <c r="M400" s="3">
        <v>12</v>
      </c>
      <c r="N400" t="s">
        <v>40</v>
      </c>
    </row>
    <row r="401" spans="1:14" ht="15" customHeight="1">
      <c r="A401" t="s">
        <v>476</v>
      </c>
      <c r="B401" t="s">
        <v>62</v>
      </c>
      <c r="C401" s="8" t="s">
        <v>33</v>
      </c>
      <c r="D401" s="9" t="s">
        <v>19</v>
      </c>
      <c r="E401" t="s">
        <v>34</v>
      </c>
      <c r="F401" s="2">
        <v>46057</v>
      </c>
      <c r="G401" s="3">
        <v>10</v>
      </c>
      <c r="H401" s="2">
        <v>46086</v>
      </c>
      <c r="I401" s="4">
        <v>46088</v>
      </c>
      <c r="J401" s="3">
        <f>COUNTIFS('OOS Events'!$C:$C,B401,'OOS Events'!$D:$D,C401,'OOS Events'!$E:$E,"&gt;="&amp;D401-90,'OOS Events'!$E:$E,"&lt;"&amp;D401)</f>
        <v>0</v>
      </c>
      <c r="K401" s="3">
        <f>COUNTIF('OOS Events'!$B:$B,A401)</f>
        <v>0</v>
      </c>
      <c r="L401" s="3">
        <v>0</v>
      </c>
      <c r="M401" s="3">
        <v>10</v>
      </c>
      <c r="N401" t="s">
        <v>44</v>
      </c>
    </row>
    <row r="402" spans="1:14" ht="15" customHeight="1">
      <c r="A402" t="s">
        <v>477</v>
      </c>
      <c r="B402" t="s">
        <v>109</v>
      </c>
      <c r="C402" s="8" t="s">
        <v>24</v>
      </c>
      <c r="D402" s="9" t="s">
        <v>25</v>
      </c>
      <c r="E402" t="s">
        <v>26</v>
      </c>
      <c r="F402" s="2">
        <v>46057</v>
      </c>
      <c r="G402" s="3">
        <v>20</v>
      </c>
      <c r="H402" s="2">
        <v>46090</v>
      </c>
      <c r="I402" s="2">
        <v>46090</v>
      </c>
      <c r="J402" s="3">
        <f>COUNTIFS('OOS Events'!$C:$C,B402,'OOS Events'!$D:$D,C402,'OOS Events'!$E:$E,"&gt;="&amp;D402-90,'OOS Events'!$E:$E,"&lt;"&amp;D402)</f>
        <v>0</v>
      </c>
      <c r="K402" s="3">
        <f>COUNTIF('OOS Events'!$B:$B,A402)</f>
        <v>1</v>
      </c>
      <c r="L402" s="3">
        <v>2</v>
      </c>
      <c r="M402" s="3">
        <v>10</v>
      </c>
      <c r="N402" t="s">
        <v>47</v>
      </c>
    </row>
    <row r="403" spans="1:14" ht="15" customHeight="1">
      <c r="A403" t="s">
        <v>478</v>
      </c>
      <c r="B403" t="s">
        <v>196</v>
      </c>
      <c r="C403" s="8" t="s">
        <v>71</v>
      </c>
      <c r="D403" s="9" t="s">
        <v>72</v>
      </c>
      <c r="E403" t="s">
        <v>34</v>
      </c>
      <c r="F403" s="2">
        <v>46058</v>
      </c>
      <c r="G403" s="3">
        <v>10</v>
      </c>
      <c r="H403" s="2">
        <v>46075</v>
      </c>
      <c r="I403" s="4">
        <v>46077</v>
      </c>
      <c r="J403" s="3">
        <f>COUNTIFS('OOS Events'!$C:$C,B403,'OOS Events'!$D:$D,C403,'OOS Events'!$E:$E,"&gt;="&amp;D403-90,'OOS Events'!$E:$E,"&lt;"&amp;D403)</f>
        <v>0</v>
      </c>
      <c r="K403" s="3">
        <f>COUNTIF('OOS Events'!$B:$B,A403)</f>
        <v>0</v>
      </c>
      <c r="L403" s="3">
        <v>1</v>
      </c>
      <c r="M403" s="3">
        <v>12</v>
      </c>
      <c r="N403" t="s">
        <v>21</v>
      </c>
    </row>
    <row r="404" spans="1:14" ht="15" customHeight="1">
      <c r="A404" t="s">
        <v>479</v>
      </c>
      <c r="B404" t="s">
        <v>66</v>
      </c>
      <c r="C404" s="8" t="s">
        <v>24</v>
      </c>
      <c r="D404" s="9" t="s">
        <v>25</v>
      </c>
      <c r="E404" t="s">
        <v>34</v>
      </c>
      <c r="F404" s="2">
        <v>46060</v>
      </c>
      <c r="G404" s="3">
        <v>20</v>
      </c>
      <c r="H404" s="2">
        <v>46097</v>
      </c>
      <c r="I404" s="2">
        <v>46097</v>
      </c>
      <c r="J404" s="3">
        <f>COUNTIFS('OOS Events'!$C:$C,B404,'OOS Events'!$D:$D,C404,'OOS Events'!$E:$E,"&gt;="&amp;D404-90,'OOS Events'!$E:$E,"&lt;"&amp;D404)</f>
        <v>0</v>
      </c>
      <c r="K404" s="3">
        <f>COUNTIF('OOS Events'!$B:$B,A404)</f>
        <v>1</v>
      </c>
      <c r="L404" s="3">
        <v>0</v>
      </c>
      <c r="M404" s="3">
        <v>28</v>
      </c>
      <c r="N404" t="s">
        <v>27</v>
      </c>
    </row>
    <row r="405" spans="1:14" ht="15" customHeight="1">
      <c r="A405" t="s">
        <v>480</v>
      </c>
      <c r="B405" t="s">
        <v>68</v>
      </c>
      <c r="C405" s="8" t="s">
        <v>24</v>
      </c>
      <c r="D405" s="9" t="s">
        <v>25</v>
      </c>
      <c r="E405" t="s">
        <v>26</v>
      </c>
      <c r="F405" s="2">
        <v>46061</v>
      </c>
      <c r="G405" s="3">
        <v>18</v>
      </c>
      <c r="H405" s="2">
        <v>46087</v>
      </c>
      <c r="I405" s="2">
        <v>46087</v>
      </c>
      <c r="J405" s="3">
        <f>COUNTIFS('OOS Events'!$C:$C,B405,'OOS Events'!$D:$D,C405,'OOS Events'!$E:$E,"&gt;="&amp;D405-90,'OOS Events'!$E:$E,"&lt;"&amp;D405)</f>
        <v>0</v>
      </c>
      <c r="K405" s="3">
        <f>COUNTIF('OOS Events'!$B:$B,A405)</f>
        <v>0</v>
      </c>
      <c r="L405" s="3">
        <v>0</v>
      </c>
      <c r="M405" s="3">
        <v>20</v>
      </c>
      <c r="N405" t="s">
        <v>40</v>
      </c>
    </row>
    <row r="406" spans="1:14" ht="15" customHeight="1">
      <c r="A406" t="s">
        <v>481</v>
      </c>
      <c r="B406" t="s">
        <v>142</v>
      </c>
      <c r="C406" s="8" t="s">
        <v>71</v>
      </c>
      <c r="D406" s="9" t="s">
        <v>72</v>
      </c>
      <c r="E406" t="s">
        <v>43</v>
      </c>
      <c r="F406" s="2">
        <v>46061</v>
      </c>
      <c r="G406" s="3">
        <v>21</v>
      </c>
      <c r="H406" s="2">
        <v>46093</v>
      </c>
      <c r="I406" s="4">
        <v>46095</v>
      </c>
      <c r="J406" s="3">
        <f>COUNTIFS('OOS Events'!$C:$C,B406,'OOS Events'!$D:$D,C406,'OOS Events'!$E:$E,"&gt;="&amp;D406-90,'OOS Events'!$E:$E,"&lt;"&amp;D406)</f>
        <v>0</v>
      </c>
      <c r="K406" s="3">
        <f>COUNTIF('OOS Events'!$B:$B,A406)</f>
        <v>0</v>
      </c>
      <c r="L406" s="3">
        <v>0</v>
      </c>
      <c r="M406" s="3">
        <v>40</v>
      </c>
      <c r="N406" t="s">
        <v>35</v>
      </c>
    </row>
    <row r="407" spans="1:14" ht="15" customHeight="1">
      <c r="A407" t="s">
        <v>482</v>
      </c>
      <c r="B407" t="s">
        <v>229</v>
      </c>
      <c r="C407" s="8" t="s">
        <v>33</v>
      </c>
      <c r="D407" s="9" t="s">
        <v>19</v>
      </c>
      <c r="E407" t="s">
        <v>60</v>
      </c>
      <c r="F407" s="2">
        <v>46062</v>
      </c>
      <c r="G407" s="3">
        <v>23</v>
      </c>
      <c r="H407" s="2">
        <v>46094</v>
      </c>
      <c r="I407" s="4">
        <v>46095</v>
      </c>
      <c r="J407" s="3">
        <f>COUNTIFS('OOS Events'!$C:$C,B407,'OOS Events'!$D:$D,C407,'OOS Events'!$E:$E,"&gt;="&amp;D407-90,'OOS Events'!$E:$E,"&lt;"&amp;D407)</f>
        <v>0</v>
      </c>
      <c r="K407" s="3">
        <f>COUNTIF('OOS Events'!$B:$B,A407)</f>
        <v>0</v>
      </c>
      <c r="L407" s="3">
        <v>1</v>
      </c>
      <c r="M407" s="3">
        <v>16</v>
      </c>
      <c r="N407" t="s">
        <v>47</v>
      </c>
    </row>
    <row r="408" spans="1:14" ht="15" customHeight="1">
      <c r="A408" t="s">
        <v>483</v>
      </c>
      <c r="B408" t="s">
        <v>74</v>
      </c>
      <c r="C408" s="8" t="s">
        <v>75</v>
      </c>
      <c r="D408" s="9" t="s">
        <v>72</v>
      </c>
      <c r="E408" t="s">
        <v>30</v>
      </c>
      <c r="F408" s="2">
        <v>46064</v>
      </c>
      <c r="G408" s="3">
        <v>13</v>
      </c>
      <c r="H408" s="2">
        <v>46089</v>
      </c>
      <c r="I408" s="2">
        <v>46089</v>
      </c>
      <c r="J408" s="3">
        <f>COUNTIFS('OOS Events'!$C:$C,B408,'OOS Events'!$D:$D,C408,'OOS Events'!$E:$E,"&gt;="&amp;D408-90,'OOS Events'!$E:$E,"&lt;"&amp;D408)</f>
        <v>0</v>
      </c>
      <c r="K408" s="3">
        <f>COUNTIF('OOS Events'!$B:$B,A408)</f>
        <v>0</v>
      </c>
      <c r="L408" s="3">
        <v>1</v>
      </c>
      <c r="M408" s="3">
        <v>23</v>
      </c>
      <c r="N408" t="s">
        <v>44</v>
      </c>
    </row>
    <row r="409" spans="1:14" ht="15" customHeight="1">
      <c r="A409" t="s">
        <v>484</v>
      </c>
      <c r="B409" t="s">
        <v>174</v>
      </c>
      <c r="C409" s="8" t="s">
        <v>71</v>
      </c>
      <c r="D409" s="9" t="s">
        <v>72</v>
      </c>
      <c r="E409" t="s">
        <v>60</v>
      </c>
      <c r="F409" s="2">
        <v>46065</v>
      </c>
      <c r="G409" s="3">
        <v>21</v>
      </c>
      <c r="H409" s="2">
        <v>46079</v>
      </c>
      <c r="I409" s="4">
        <v>46082</v>
      </c>
      <c r="J409" s="3">
        <f>COUNTIFS('OOS Events'!$C:$C,B409,'OOS Events'!$D:$D,C409,'OOS Events'!$E:$E,"&gt;="&amp;D409-90,'OOS Events'!$E:$E,"&lt;"&amp;D409)</f>
        <v>0</v>
      </c>
      <c r="K409" s="3">
        <f>COUNTIF('OOS Events'!$B:$B,A409)</f>
        <v>1</v>
      </c>
      <c r="L409" s="3">
        <v>0</v>
      </c>
      <c r="M409" s="3">
        <v>14</v>
      </c>
      <c r="N409" t="s">
        <v>21</v>
      </c>
    </row>
    <row r="410" spans="1:14" ht="15" customHeight="1">
      <c r="A410" t="s">
        <v>485</v>
      </c>
      <c r="B410" t="s">
        <v>263</v>
      </c>
      <c r="C410" s="8" t="s">
        <v>33</v>
      </c>
      <c r="D410" s="9" t="s">
        <v>19</v>
      </c>
      <c r="E410" t="s">
        <v>34</v>
      </c>
      <c r="F410" s="2">
        <v>46066</v>
      </c>
      <c r="G410" s="3">
        <v>13</v>
      </c>
      <c r="H410" s="2">
        <v>46095</v>
      </c>
      <c r="I410" s="2">
        <v>46095</v>
      </c>
      <c r="J410" s="3">
        <f>COUNTIFS('OOS Events'!$C:$C,B410,'OOS Events'!$D:$D,C410,'OOS Events'!$E:$E,"&gt;="&amp;D410-90,'OOS Events'!$E:$E,"&lt;"&amp;D410)</f>
        <v>0</v>
      </c>
      <c r="K410" s="3">
        <f>COUNTIF('OOS Events'!$B:$B,A410)</f>
        <v>0</v>
      </c>
      <c r="L410" s="3">
        <v>1</v>
      </c>
      <c r="M410" s="3">
        <v>38</v>
      </c>
      <c r="N410" t="s">
        <v>35</v>
      </c>
    </row>
    <row r="411" spans="1:14" ht="15" customHeight="1">
      <c r="A411" t="s">
        <v>486</v>
      </c>
      <c r="B411" t="s">
        <v>79</v>
      </c>
      <c r="C411" s="8" t="s">
        <v>33</v>
      </c>
      <c r="D411" s="9" t="s">
        <v>19</v>
      </c>
      <c r="E411" t="s">
        <v>20</v>
      </c>
      <c r="F411" s="2">
        <v>46068</v>
      </c>
      <c r="G411" s="3">
        <v>12</v>
      </c>
      <c r="H411" s="2">
        <v>46088</v>
      </c>
      <c r="I411" s="2">
        <v>46087</v>
      </c>
      <c r="J411" s="3">
        <f>COUNTIFS('OOS Events'!$C:$C,B411,'OOS Events'!$D:$D,C411,'OOS Events'!$E:$E,"&gt;="&amp;D411-90,'OOS Events'!$E:$E,"&lt;"&amp;D411)</f>
        <v>0</v>
      </c>
      <c r="K411" s="3">
        <f>COUNTIF('OOS Events'!$B:$B,A411)</f>
        <v>0</v>
      </c>
      <c r="L411" s="3">
        <v>0</v>
      </c>
      <c r="M411" s="3">
        <v>33</v>
      </c>
      <c r="N411" t="s">
        <v>40</v>
      </c>
    </row>
    <row r="412" spans="1:14" ht="15" customHeight="1">
      <c r="A412" t="s">
        <v>487</v>
      </c>
      <c r="B412" t="s">
        <v>206</v>
      </c>
      <c r="C412" s="8" t="s">
        <v>71</v>
      </c>
      <c r="D412" s="9" t="s">
        <v>72</v>
      </c>
      <c r="E412" t="s">
        <v>20</v>
      </c>
      <c r="F412" s="2">
        <v>46069</v>
      </c>
      <c r="G412" s="3">
        <v>17</v>
      </c>
      <c r="H412" s="2">
        <v>46094</v>
      </c>
      <c r="I412" s="2">
        <v>46094</v>
      </c>
      <c r="J412" s="3">
        <f>COUNTIFS('OOS Events'!$C:$C,B412,'OOS Events'!$D:$D,C412,'OOS Events'!$E:$E,"&gt;="&amp;D412-90,'OOS Events'!$E:$E,"&lt;"&amp;D412)</f>
        <v>0</v>
      </c>
      <c r="K412" s="3">
        <f>COUNTIF('OOS Events'!$B:$B,A412)</f>
        <v>1</v>
      </c>
      <c r="L412" s="3">
        <v>0</v>
      </c>
      <c r="M412" s="3">
        <v>25</v>
      </c>
      <c r="N412" t="s">
        <v>47</v>
      </c>
    </row>
    <row r="413" spans="1:14" ht="15" customHeight="1">
      <c r="A413" t="s">
        <v>488</v>
      </c>
      <c r="B413" t="s">
        <v>295</v>
      </c>
      <c r="C413" s="8" t="s">
        <v>33</v>
      </c>
      <c r="D413" s="9" t="s">
        <v>19</v>
      </c>
      <c r="E413" t="s">
        <v>30</v>
      </c>
      <c r="F413" s="2">
        <v>46070</v>
      </c>
      <c r="G413" s="3">
        <v>13</v>
      </c>
      <c r="H413" s="2">
        <v>46087</v>
      </c>
      <c r="I413" s="2">
        <v>46086</v>
      </c>
      <c r="J413" s="3">
        <f>COUNTIFS('OOS Events'!$C:$C,B413,'OOS Events'!$D:$D,C413,'OOS Events'!$E:$E,"&gt;="&amp;D413-90,'OOS Events'!$E:$E,"&lt;"&amp;D413)</f>
        <v>0</v>
      </c>
      <c r="K413" s="3">
        <f>COUNTIF('OOS Events'!$B:$B,A413)</f>
        <v>0</v>
      </c>
      <c r="L413" s="3">
        <v>2</v>
      </c>
      <c r="M413" s="3">
        <v>16</v>
      </c>
      <c r="N413" t="s">
        <v>21</v>
      </c>
    </row>
    <row r="414" spans="1:14" ht="15" customHeight="1">
      <c r="A414" t="s">
        <v>489</v>
      </c>
      <c r="B414" t="s">
        <v>83</v>
      </c>
      <c r="C414" s="8" t="s">
        <v>33</v>
      </c>
      <c r="D414" s="9" t="s">
        <v>19</v>
      </c>
      <c r="E414" t="s">
        <v>60</v>
      </c>
      <c r="F414" s="2">
        <v>46072</v>
      </c>
      <c r="G414" s="3">
        <v>30</v>
      </c>
      <c r="H414" s="2">
        <v>46114</v>
      </c>
      <c r="I414" s="2">
        <v>46114</v>
      </c>
      <c r="J414" s="3">
        <f>COUNTIFS('OOS Events'!$C:$C,B414,'OOS Events'!$D:$D,C414,'OOS Events'!$E:$E,"&gt;="&amp;D414-90,'OOS Events'!$E:$E,"&lt;"&amp;D414)</f>
        <v>0</v>
      </c>
      <c r="K414" s="3">
        <f>COUNTIF('OOS Events'!$B:$B,A414)</f>
        <v>0</v>
      </c>
      <c r="L414" s="3">
        <v>1</v>
      </c>
      <c r="M414" s="3">
        <v>43</v>
      </c>
      <c r="N414" t="s">
        <v>27</v>
      </c>
    </row>
    <row r="415" spans="1:14" ht="15" customHeight="1">
      <c r="A415" t="s">
        <v>490</v>
      </c>
      <c r="B415" t="s">
        <v>238</v>
      </c>
      <c r="C415" s="8" t="s">
        <v>239</v>
      </c>
      <c r="D415" s="9" t="s">
        <v>240</v>
      </c>
      <c r="E415" t="s">
        <v>30</v>
      </c>
      <c r="F415" s="2">
        <v>46073</v>
      </c>
      <c r="G415" s="3">
        <v>14</v>
      </c>
      <c r="H415" s="2">
        <v>46108</v>
      </c>
      <c r="I415" s="4">
        <v>46109</v>
      </c>
      <c r="J415" s="3">
        <f>COUNTIFS('OOS Events'!$C:$C,B415,'OOS Events'!$D:$D,C415,'OOS Events'!$E:$E,"&gt;="&amp;D415-90,'OOS Events'!$E:$E,"&lt;"&amp;D415)</f>
        <v>0</v>
      </c>
      <c r="K415" s="3">
        <f>COUNTIF('OOS Events'!$B:$B,A415)</f>
        <v>0</v>
      </c>
      <c r="L415" s="3">
        <v>2</v>
      </c>
      <c r="M415" s="3">
        <v>25</v>
      </c>
      <c r="N415" t="s">
        <v>35</v>
      </c>
    </row>
    <row r="416" spans="1:14" ht="15" customHeight="1">
      <c r="A416" t="s">
        <v>491</v>
      </c>
      <c r="B416" t="s">
        <v>87</v>
      </c>
      <c r="C416" s="8" t="s">
        <v>71</v>
      </c>
      <c r="D416" s="9" t="s">
        <v>72</v>
      </c>
      <c r="E416" t="s">
        <v>20</v>
      </c>
      <c r="F416" s="2">
        <v>46074</v>
      </c>
      <c r="G416" s="3">
        <v>17</v>
      </c>
      <c r="H416" s="2">
        <v>46099</v>
      </c>
      <c r="I416" s="4">
        <v>46100</v>
      </c>
      <c r="J416" s="3">
        <f>COUNTIFS('OOS Events'!$C:$C,B416,'OOS Events'!$D:$D,C416,'OOS Events'!$E:$E,"&gt;="&amp;D416-90,'OOS Events'!$E:$E,"&lt;"&amp;D416)</f>
        <v>0</v>
      </c>
      <c r="K416" s="3">
        <f>COUNTIF('OOS Events'!$B:$B,A416)</f>
        <v>1</v>
      </c>
      <c r="L416" s="3">
        <v>2</v>
      </c>
      <c r="M416" s="3">
        <v>11</v>
      </c>
      <c r="N416" t="s">
        <v>47</v>
      </c>
    </row>
    <row r="417" spans="1:14" ht="15" customHeight="1">
      <c r="A417" t="s">
        <v>492</v>
      </c>
      <c r="B417" t="s">
        <v>273</v>
      </c>
      <c r="C417" s="8" t="s">
        <v>24</v>
      </c>
      <c r="D417" s="9" t="s">
        <v>25</v>
      </c>
      <c r="E417" t="s">
        <v>20</v>
      </c>
      <c r="F417" s="2">
        <v>46077</v>
      </c>
      <c r="G417" s="3">
        <v>14</v>
      </c>
      <c r="H417" s="2">
        <v>46097</v>
      </c>
      <c r="I417" s="2">
        <v>46097</v>
      </c>
      <c r="J417" s="3">
        <f>COUNTIFS('OOS Events'!$C:$C,B417,'OOS Events'!$D:$D,C417,'OOS Events'!$E:$E,"&gt;="&amp;D417-90,'OOS Events'!$E:$E,"&lt;"&amp;D417)</f>
        <v>0</v>
      </c>
      <c r="K417" s="3">
        <f>COUNTIF('OOS Events'!$B:$B,A417)</f>
        <v>0</v>
      </c>
      <c r="L417" s="3">
        <v>0</v>
      </c>
      <c r="M417" s="3">
        <v>20</v>
      </c>
      <c r="N417" t="s">
        <v>21</v>
      </c>
    </row>
    <row r="418" spans="1:14" ht="15" customHeight="1">
      <c r="A418" t="s">
        <v>493</v>
      </c>
      <c r="B418" t="s">
        <v>23</v>
      </c>
      <c r="C418" s="8" t="s">
        <v>24</v>
      </c>
      <c r="D418" s="9" t="s">
        <v>25</v>
      </c>
      <c r="E418" t="s">
        <v>60</v>
      </c>
      <c r="F418" s="2">
        <v>46078</v>
      </c>
      <c r="G418" s="3">
        <v>26</v>
      </c>
      <c r="H418" s="2">
        <v>46108</v>
      </c>
      <c r="I418" s="4">
        <v>46113</v>
      </c>
      <c r="J418" s="3">
        <f>COUNTIFS('OOS Events'!$C:$C,B418,'OOS Events'!$D:$D,C418,'OOS Events'!$E:$E,"&gt;="&amp;D418-90,'OOS Events'!$E:$E,"&lt;"&amp;D418)</f>
        <v>0</v>
      </c>
      <c r="K418" s="3">
        <f>COUNTIF('OOS Events'!$B:$B,A418)</f>
        <v>1</v>
      </c>
      <c r="L418" s="3">
        <v>2</v>
      </c>
      <c r="M418" s="3">
        <v>46</v>
      </c>
      <c r="N418" t="s">
        <v>35</v>
      </c>
    </row>
    <row r="419" spans="1:14" ht="15" customHeight="1">
      <c r="A419" t="s">
        <v>494</v>
      </c>
      <c r="B419" t="s">
        <v>97</v>
      </c>
      <c r="C419" s="8" t="s">
        <v>18</v>
      </c>
      <c r="D419" s="9" t="s">
        <v>19</v>
      </c>
      <c r="E419" t="s">
        <v>30</v>
      </c>
      <c r="F419" s="2">
        <v>46079</v>
      </c>
      <c r="G419" s="3">
        <v>18</v>
      </c>
      <c r="H419" s="2">
        <v>46108</v>
      </c>
      <c r="I419" s="4">
        <v>46110</v>
      </c>
      <c r="J419" s="3">
        <f>COUNTIFS('OOS Events'!$C:$C,B419,'OOS Events'!$D:$D,C419,'OOS Events'!$E:$E,"&gt;="&amp;D419-90,'OOS Events'!$E:$E,"&lt;"&amp;D419)</f>
        <v>0</v>
      </c>
      <c r="K419" s="3">
        <f>COUNTIF('OOS Events'!$B:$B,A419)</f>
        <v>0</v>
      </c>
      <c r="L419" s="3">
        <v>1</v>
      </c>
      <c r="M419" s="3">
        <v>12</v>
      </c>
      <c r="N419" t="s">
        <v>44</v>
      </c>
    </row>
    <row r="420" spans="1:14" ht="15" customHeight="1">
      <c r="A420" t="s">
        <v>495</v>
      </c>
      <c r="B420" t="s">
        <v>37</v>
      </c>
      <c r="C420" s="8" t="s">
        <v>38</v>
      </c>
      <c r="D420" s="9" t="s">
        <v>39</v>
      </c>
      <c r="E420" t="s">
        <v>26</v>
      </c>
      <c r="F420" s="2">
        <v>46081</v>
      </c>
      <c r="G420" s="3">
        <v>20</v>
      </c>
      <c r="H420" s="2">
        <v>46110</v>
      </c>
      <c r="I420" s="4">
        <v>46118</v>
      </c>
      <c r="J420" s="3">
        <f>COUNTIFS('OOS Events'!$C:$C,B420,'OOS Events'!$D:$D,C420,'OOS Events'!$E:$E,"&gt;="&amp;D420-90,'OOS Events'!$E:$E,"&lt;"&amp;D420)</f>
        <v>0</v>
      </c>
      <c r="K420" s="3">
        <f>COUNTIF('OOS Events'!$B:$B,A420)</f>
        <v>1</v>
      </c>
      <c r="L420" s="3">
        <v>0</v>
      </c>
      <c r="M420" s="3">
        <v>27</v>
      </c>
      <c r="N420" t="s">
        <v>47</v>
      </c>
    </row>
    <row r="421" spans="1:14" ht="15" customHeight="1">
      <c r="A421" t="s">
        <v>496</v>
      </c>
      <c r="B421" t="s">
        <v>42</v>
      </c>
      <c r="C421" s="8" t="s">
        <v>24</v>
      </c>
      <c r="D421" s="9" t="s">
        <v>25</v>
      </c>
      <c r="E421" t="s">
        <v>43</v>
      </c>
      <c r="F421" s="2">
        <v>46082</v>
      </c>
      <c r="G421" s="3">
        <v>23</v>
      </c>
      <c r="H421" s="2">
        <v>46097</v>
      </c>
      <c r="I421" s="4">
        <v>46102</v>
      </c>
      <c r="J421" s="3">
        <f>COUNTIFS('OOS Events'!$C:$C,B421,'OOS Events'!$D:$D,C421,'OOS Events'!$E:$E,"&gt;="&amp;D421-90,'OOS Events'!$E:$E,"&lt;"&amp;D421)</f>
        <v>0</v>
      </c>
      <c r="K421" s="3">
        <f>COUNTIF('OOS Events'!$B:$B,A421)</f>
        <v>0</v>
      </c>
      <c r="L421" s="3">
        <v>0</v>
      </c>
      <c r="M421" s="3">
        <v>14</v>
      </c>
      <c r="N421" t="s">
        <v>21</v>
      </c>
    </row>
    <row r="422" spans="1:14" ht="15" customHeight="1">
      <c r="A422" t="s">
        <v>497</v>
      </c>
      <c r="B422" t="s">
        <v>130</v>
      </c>
      <c r="C422" s="8" t="s">
        <v>71</v>
      </c>
      <c r="D422" s="9" t="s">
        <v>72</v>
      </c>
      <c r="E422" t="s">
        <v>20</v>
      </c>
      <c r="F422" s="2">
        <v>46083</v>
      </c>
      <c r="G422" s="3">
        <v>19</v>
      </c>
      <c r="H422" s="2">
        <v>46101</v>
      </c>
      <c r="I422" s="2">
        <v>46099</v>
      </c>
      <c r="J422" s="3">
        <f>COUNTIFS('OOS Events'!$C:$C,B422,'OOS Events'!$D:$D,C422,'OOS Events'!$E:$E,"&gt;="&amp;D422-90,'OOS Events'!$E:$E,"&lt;"&amp;D422)</f>
        <v>0</v>
      </c>
      <c r="K422" s="3">
        <f>COUNTIF('OOS Events'!$B:$B,A422)</f>
        <v>1</v>
      </c>
      <c r="L422" s="3">
        <v>0</v>
      </c>
      <c r="M422" s="3">
        <v>16</v>
      </c>
      <c r="N422" t="s">
        <v>40</v>
      </c>
    </row>
    <row r="423" spans="1:14" ht="15" customHeight="1">
      <c r="A423" t="s">
        <v>498</v>
      </c>
      <c r="B423" t="s">
        <v>51</v>
      </c>
      <c r="C423" s="8" t="s">
        <v>38</v>
      </c>
      <c r="D423" s="9" t="s">
        <v>39</v>
      </c>
      <c r="E423" t="s">
        <v>43</v>
      </c>
      <c r="F423" s="2">
        <v>46085</v>
      </c>
      <c r="G423" s="3">
        <v>23</v>
      </c>
      <c r="H423" s="2">
        <v>46117</v>
      </c>
      <c r="I423" s="2">
        <v>46117</v>
      </c>
      <c r="J423" s="3">
        <f>COUNTIFS('OOS Events'!$C:$C,B423,'OOS Events'!$D:$D,C423,'OOS Events'!$E:$E,"&gt;="&amp;D423-90,'OOS Events'!$E:$E,"&lt;"&amp;D423)</f>
        <v>0</v>
      </c>
      <c r="K423" s="3">
        <f>COUNTIF('OOS Events'!$B:$B,A423)</f>
        <v>0</v>
      </c>
      <c r="L423" s="3">
        <v>0</v>
      </c>
      <c r="M423" s="3">
        <v>25</v>
      </c>
      <c r="N423" t="s">
        <v>35</v>
      </c>
    </row>
    <row r="424" spans="1:14" ht="15" customHeight="1">
      <c r="A424" t="s">
        <v>499</v>
      </c>
      <c r="B424" t="s">
        <v>53</v>
      </c>
      <c r="C424" s="8" t="s">
        <v>24</v>
      </c>
      <c r="D424" s="9" t="s">
        <v>25</v>
      </c>
      <c r="E424" t="s">
        <v>60</v>
      </c>
      <c r="F424" s="2">
        <v>46086</v>
      </c>
      <c r="G424" s="3">
        <v>23</v>
      </c>
      <c r="H424" s="2">
        <v>46117</v>
      </c>
      <c r="I424" s="4">
        <v>46118</v>
      </c>
      <c r="J424" s="3">
        <f>COUNTIFS('OOS Events'!$C:$C,B424,'OOS Events'!$D:$D,C424,'OOS Events'!$E:$E,"&gt;="&amp;D424-90,'OOS Events'!$E:$E,"&lt;"&amp;D424)</f>
        <v>0</v>
      </c>
      <c r="K424" s="3">
        <f>COUNTIF('OOS Events'!$B:$B,A424)</f>
        <v>0</v>
      </c>
      <c r="L424" s="3">
        <v>1</v>
      </c>
      <c r="M424" s="3">
        <v>15</v>
      </c>
      <c r="N424" t="s">
        <v>47</v>
      </c>
    </row>
    <row r="425" spans="1:14" ht="15" customHeight="1">
      <c r="A425" t="s">
        <v>500</v>
      </c>
      <c r="B425" t="s">
        <v>163</v>
      </c>
      <c r="C425" s="8" t="s">
        <v>71</v>
      </c>
      <c r="D425" s="9" t="s">
        <v>72</v>
      </c>
      <c r="E425" t="s">
        <v>26</v>
      </c>
      <c r="F425" s="2">
        <v>46087</v>
      </c>
      <c r="G425" s="3">
        <v>18</v>
      </c>
      <c r="H425" s="2">
        <v>46125</v>
      </c>
      <c r="I425" s="4">
        <v>46126</v>
      </c>
      <c r="J425" s="3">
        <f>COUNTIFS('OOS Events'!$C:$C,B425,'OOS Events'!$D:$D,C425,'OOS Events'!$E:$E,"&gt;="&amp;D425-90,'OOS Events'!$E:$E,"&lt;"&amp;D425)</f>
        <v>0</v>
      </c>
      <c r="K425" s="3">
        <f>COUNTIF('OOS Events'!$B:$B,A425)</f>
        <v>0</v>
      </c>
      <c r="L425" s="3">
        <v>1</v>
      </c>
      <c r="M425" s="3">
        <v>22</v>
      </c>
      <c r="N425" t="s">
        <v>27</v>
      </c>
    </row>
    <row r="426" spans="1:14" ht="15" customHeight="1">
      <c r="A426" t="s">
        <v>501</v>
      </c>
      <c r="B426" t="s">
        <v>59</v>
      </c>
      <c r="C426" s="8" t="s">
        <v>24</v>
      </c>
      <c r="D426" s="9" t="s">
        <v>25</v>
      </c>
      <c r="E426" t="s">
        <v>30</v>
      </c>
      <c r="F426" s="2">
        <v>46089</v>
      </c>
      <c r="G426" s="3">
        <v>17</v>
      </c>
      <c r="H426" s="2">
        <v>46109</v>
      </c>
      <c r="I426" s="4">
        <v>46117</v>
      </c>
      <c r="J426" s="3">
        <f>COUNTIFS('OOS Events'!$C:$C,B426,'OOS Events'!$D:$D,C426,'OOS Events'!$E:$E,"&gt;="&amp;D426-90,'OOS Events'!$E:$E,"&lt;"&amp;D426)</f>
        <v>0</v>
      </c>
      <c r="K426" s="3">
        <f>COUNTIF('OOS Events'!$B:$B,A426)</f>
        <v>1</v>
      </c>
      <c r="L426" s="3">
        <v>2</v>
      </c>
      <c r="M426" s="3">
        <v>12</v>
      </c>
      <c r="N426" t="s">
        <v>21</v>
      </c>
    </row>
    <row r="427" spans="1:14" ht="15" customHeight="1">
      <c r="A427" t="s">
        <v>502</v>
      </c>
      <c r="B427" t="s">
        <v>62</v>
      </c>
      <c r="C427" s="8" t="s">
        <v>33</v>
      </c>
      <c r="D427" s="9" t="s">
        <v>19</v>
      </c>
      <c r="E427" t="s">
        <v>34</v>
      </c>
      <c r="F427" s="2">
        <v>46090</v>
      </c>
      <c r="G427" s="3">
        <v>8</v>
      </c>
      <c r="H427" s="2">
        <v>46120</v>
      </c>
      <c r="I427" s="2">
        <v>46117</v>
      </c>
      <c r="J427" s="3">
        <f>COUNTIFS('OOS Events'!$C:$C,B427,'OOS Events'!$D:$D,C427,'OOS Events'!$E:$E,"&gt;="&amp;D427-90,'OOS Events'!$E:$E,"&lt;"&amp;D427)</f>
        <v>0</v>
      </c>
      <c r="K427" s="3">
        <f>COUNTIF('OOS Events'!$B:$B,A427)</f>
        <v>0</v>
      </c>
      <c r="L427" s="3">
        <v>2</v>
      </c>
      <c r="M427" s="3">
        <v>23</v>
      </c>
      <c r="N427" t="s">
        <v>35</v>
      </c>
    </row>
    <row r="428" spans="1:14" ht="15" customHeight="1">
      <c r="A428" t="s">
        <v>503</v>
      </c>
      <c r="B428" t="s">
        <v>109</v>
      </c>
      <c r="C428" s="8" t="s">
        <v>24</v>
      </c>
      <c r="D428" s="9" t="s">
        <v>25</v>
      </c>
      <c r="E428" t="s">
        <v>26</v>
      </c>
      <c r="F428" s="2">
        <v>46090</v>
      </c>
      <c r="G428" s="3">
        <v>19</v>
      </c>
      <c r="H428" s="2">
        <v>46111</v>
      </c>
      <c r="I428" s="4">
        <v>46112</v>
      </c>
      <c r="J428" s="3">
        <f>COUNTIFS('OOS Events'!$C:$C,B428,'OOS Events'!$D:$D,C428,'OOS Events'!$E:$E,"&gt;="&amp;D428-90,'OOS Events'!$E:$E,"&lt;"&amp;D428)</f>
        <v>0</v>
      </c>
      <c r="K428" s="3">
        <f>COUNTIF('OOS Events'!$B:$B,A428)</f>
        <v>0</v>
      </c>
      <c r="L428" s="3">
        <v>1</v>
      </c>
      <c r="M428" s="3">
        <v>14</v>
      </c>
      <c r="N428" t="s">
        <v>40</v>
      </c>
    </row>
    <row r="429" spans="1:14" ht="15" customHeight="1">
      <c r="A429" t="s">
        <v>504</v>
      </c>
      <c r="B429" t="s">
        <v>196</v>
      </c>
      <c r="C429" s="8" t="s">
        <v>71</v>
      </c>
      <c r="D429" s="9" t="s">
        <v>72</v>
      </c>
      <c r="E429" t="s">
        <v>43</v>
      </c>
      <c r="F429" s="2">
        <v>46091</v>
      </c>
      <c r="G429" s="3">
        <v>17</v>
      </c>
      <c r="H429" s="2">
        <v>46117</v>
      </c>
      <c r="I429" s="2">
        <v>46117</v>
      </c>
      <c r="J429" s="3">
        <f>COUNTIFS('OOS Events'!$C:$C,B429,'OOS Events'!$D:$D,C429,'OOS Events'!$E:$E,"&gt;="&amp;D429-90,'OOS Events'!$E:$E,"&lt;"&amp;D429)</f>
        <v>0</v>
      </c>
      <c r="K429" s="3">
        <f>COUNTIF('OOS Events'!$B:$B,A429)</f>
        <v>1</v>
      </c>
      <c r="L429" s="3">
        <v>0</v>
      </c>
      <c r="M429" s="3">
        <v>12</v>
      </c>
      <c r="N429" t="s">
        <v>44</v>
      </c>
    </row>
    <row r="430" spans="1:14" ht="15" customHeight="1">
      <c r="A430" t="s">
        <v>505</v>
      </c>
      <c r="B430" t="s">
        <v>66</v>
      </c>
      <c r="C430" s="8" t="s">
        <v>24</v>
      </c>
      <c r="D430" s="9" t="s">
        <v>25</v>
      </c>
      <c r="E430" t="s">
        <v>34</v>
      </c>
      <c r="F430" s="2">
        <v>46093</v>
      </c>
      <c r="G430" s="3">
        <v>6</v>
      </c>
      <c r="H430" s="2">
        <v>46121</v>
      </c>
      <c r="I430" s="4">
        <v>46126</v>
      </c>
      <c r="J430" s="3">
        <f>COUNTIFS('OOS Events'!$C:$C,B430,'OOS Events'!$D:$D,C430,'OOS Events'!$E:$E,"&gt;="&amp;D430-90,'OOS Events'!$E:$E,"&lt;"&amp;D430)</f>
        <v>0</v>
      </c>
      <c r="K430" s="3">
        <f>COUNTIF('OOS Events'!$B:$B,A430)</f>
        <v>0</v>
      </c>
      <c r="L430" s="3">
        <v>0</v>
      </c>
      <c r="M430" s="3">
        <v>31</v>
      </c>
      <c r="N430" t="s">
        <v>47</v>
      </c>
    </row>
    <row r="431" spans="1:14" ht="15" customHeight="1">
      <c r="A431" t="s">
        <v>506</v>
      </c>
      <c r="B431" t="s">
        <v>68</v>
      </c>
      <c r="C431" s="8" t="s">
        <v>24</v>
      </c>
      <c r="D431" s="9" t="s">
        <v>25</v>
      </c>
      <c r="E431" t="s">
        <v>30</v>
      </c>
      <c r="F431" s="2">
        <v>46094</v>
      </c>
      <c r="G431" s="3">
        <v>15</v>
      </c>
      <c r="H431" s="2">
        <v>46108</v>
      </c>
      <c r="I431" s="4">
        <v>46111</v>
      </c>
      <c r="J431" s="3">
        <f>COUNTIFS('OOS Events'!$C:$C,B431,'OOS Events'!$D:$D,C431,'OOS Events'!$E:$E,"&gt;="&amp;D431-90,'OOS Events'!$E:$E,"&lt;"&amp;D431)</f>
        <v>0</v>
      </c>
      <c r="K431" s="3">
        <f>COUNTIF('OOS Events'!$B:$B,A431)</f>
        <v>0</v>
      </c>
      <c r="L431" s="3">
        <v>0</v>
      </c>
      <c r="M431" s="3">
        <v>29</v>
      </c>
      <c r="N431" t="s">
        <v>21</v>
      </c>
    </row>
    <row r="432" spans="1:14" ht="15" customHeight="1">
      <c r="A432" t="s">
        <v>507</v>
      </c>
      <c r="B432" t="s">
        <v>142</v>
      </c>
      <c r="C432" s="8" t="s">
        <v>71</v>
      </c>
      <c r="D432" s="9" t="s">
        <v>72</v>
      </c>
      <c r="E432" t="s">
        <v>43</v>
      </c>
      <c r="F432" s="2">
        <v>46094</v>
      </c>
      <c r="G432" s="3">
        <v>19</v>
      </c>
      <c r="H432" s="2">
        <v>46129</v>
      </c>
      <c r="I432" s="4">
        <v>46141</v>
      </c>
      <c r="J432" s="3">
        <f>COUNTIFS('OOS Events'!$C:$C,B432,'OOS Events'!$D:$D,C432,'OOS Events'!$E:$E,"&gt;="&amp;D432-90,'OOS Events'!$E:$E,"&lt;"&amp;D432)</f>
        <v>0</v>
      </c>
      <c r="K432" s="3">
        <f>COUNTIF('OOS Events'!$B:$B,A432)</f>
        <v>0</v>
      </c>
      <c r="L432" s="3">
        <v>2</v>
      </c>
      <c r="M432" s="3">
        <v>18</v>
      </c>
      <c r="N432" t="s">
        <v>27</v>
      </c>
    </row>
    <row r="433" spans="1:14" ht="15" customHeight="1">
      <c r="A433" t="s">
        <v>508</v>
      </c>
      <c r="B433" t="s">
        <v>229</v>
      </c>
      <c r="C433" s="8" t="s">
        <v>33</v>
      </c>
      <c r="D433" s="9" t="s">
        <v>19</v>
      </c>
      <c r="E433" t="s">
        <v>30</v>
      </c>
      <c r="F433" s="2">
        <v>46095</v>
      </c>
      <c r="G433" s="3">
        <v>20</v>
      </c>
      <c r="H433" s="2">
        <v>46114</v>
      </c>
      <c r="I433" s="4">
        <v>46119</v>
      </c>
      <c r="J433" s="3">
        <f>COUNTIFS('OOS Events'!$C:$C,B433,'OOS Events'!$D:$D,C433,'OOS Events'!$E:$E,"&gt;="&amp;D433-90,'OOS Events'!$E:$E,"&lt;"&amp;D433)</f>
        <v>0</v>
      </c>
      <c r="K433" s="3">
        <f>COUNTIF('OOS Events'!$B:$B,A433)</f>
        <v>0</v>
      </c>
      <c r="L433" s="3">
        <v>0</v>
      </c>
      <c r="M433" s="3">
        <v>33</v>
      </c>
      <c r="N433" t="s">
        <v>40</v>
      </c>
    </row>
    <row r="434" spans="1:14" ht="15" customHeight="1">
      <c r="A434" t="s">
        <v>509</v>
      </c>
      <c r="B434" t="s">
        <v>74</v>
      </c>
      <c r="C434" s="8" t="s">
        <v>75</v>
      </c>
      <c r="D434" s="9" t="s">
        <v>72</v>
      </c>
      <c r="E434" t="s">
        <v>30</v>
      </c>
      <c r="F434" s="2">
        <v>46097</v>
      </c>
      <c r="G434" s="3">
        <v>17</v>
      </c>
      <c r="H434" s="2">
        <v>46129</v>
      </c>
      <c r="I434" s="2">
        <v>46127</v>
      </c>
      <c r="J434" s="3">
        <f>COUNTIFS('OOS Events'!$C:$C,B434,'OOS Events'!$D:$D,C434,'OOS Events'!$E:$E,"&gt;="&amp;D434-90,'OOS Events'!$E:$E,"&lt;"&amp;D434)</f>
        <v>0</v>
      </c>
      <c r="K434" s="3">
        <f>COUNTIF('OOS Events'!$B:$B,A434)</f>
        <v>0</v>
      </c>
      <c r="L434" s="3">
        <v>1</v>
      </c>
      <c r="M434" s="3">
        <v>36</v>
      </c>
      <c r="N434" t="s">
        <v>35</v>
      </c>
    </row>
    <row r="435" spans="1:14" ht="15" customHeight="1">
      <c r="A435" t="s">
        <v>510</v>
      </c>
      <c r="B435" t="s">
        <v>77</v>
      </c>
      <c r="C435" s="8" t="s">
        <v>33</v>
      </c>
      <c r="D435" s="9" t="s">
        <v>19</v>
      </c>
      <c r="E435" t="s">
        <v>43</v>
      </c>
      <c r="F435" s="2">
        <v>46098</v>
      </c>
      <c r="G435" s="3">
        <v>20</v>
      </c>
      <c r="H435" s="2">
        <v>46126</v>
      </c>
      <c r="I435" s="4">
        <v>46127</v>
      </c>
      <c r="J435" s="3">
        <f>COUNTIFS('OOS Events'!$C:$C,B435,'OOS Events'!$D:$D,C435,'OOS Events'!$E:$E,"&gt;="&amp;D435-90,'OOS Events'!$E:$E,"&lt;"&amp;D435)</f>
        <v>0</v>
      </c>
      <c r="K435" s="3">
        <f>COUNTIF('OOS Events'!$B:$B,A435)</f>
        <v>0</v>
      </c>
      <c r="L435" s="3">
        <v>0</v>
      </c>
      <c r="M435" s="3">
        <v>28</v>
      </c>
      <c r="N435" t="s">
        <v>47</v>
      </c>
    </row>
    <row r="436" spans="1:14" ht="15" customHeight="1">
      <c r="A436" t="s">
        <v>511</v>
      </c>
      <c r="B436" t="s">
        <v>174</v>
      </c>
      <c r="C436" s="8" t="s">
        <v>71</v>
      </c>
      <c r="D436" s="9" t="s">
        <v>72</v>
      </c>
      <c r="E436" t="s">
        <v>60</v>
      </c>
      <c r="F436" s="2">
        <v>46098</v>
      </c>
      <c r="G436" s="3">
        <v>19</v>
      </c>
      <c r="H436" s="2">
        <v>46126</v>
      </c>
      <c r="I436" s="2">
        <v>46126</v>
      </c>
      <c r="J436" s="3">
        <f>COUNTIFS('OOS Events'!$C:$C,B436,'OOS Events'!$D:$D,C436,'OOS Events'!$E:$E,"&gt;="&amp;D436-90,'OOS Events'!$E:$E,"&lt;"&amp;D436)</f>
        <v>0</v>
      </c>
      <c r="K436" s="3">
        <f>COUNTIF('OOS Events'!$B:$B,A436)</f>
        <v>0</v>
      </c>
      <c r="L436" s="3">
        <v>0</v>
      </c>
      <c r="M436" s="3">
        <v>19</v>
      </c>
      <c r="N436" t="s">
        <v>44</v>
      </c>
    </row>
    <row r="437" spans="1:14" ht="15" customHeight="1">
      <c r="A437" t="s">
        <v>512</v>
      </c>
      <c r="B437" t="s">
        <v>263</v>
      </c>
      <c r="C437" s="8" t="s">
        <v>33</v>
      </c>
      <c r="D437" s="9" t="s">
        <v>19</v>
      </c>
      <c r="E437" t="s">
        <v>34</v>
      </c>
      <c r="F437" s="2">
        <v>46099</v>
      </c>
      <c r="G437" s="3">
        <v>9</v>
      </c>
      <c r="H437" s="2">
        <v>46137</v>
      </c>
      <c r="I437" s="4">
        <v>46139</v>
      </c>
      <c r="J437" s="3">
        <f>COUNTIFS('OOS Events'!$C:$C,B437,'OOS Events'!$D:$D,C437,'OOS Events'!$E:$E,"&gt;="&amp;D437-90,'OOS Events'!$E:$E,"&lt;"&amp;D437)</f>
        <v>0</v>
      </c>
      <c r="K437" s="3">
        <f>COUNTIF('OOS Events'!$B:$B,A437)</f>
        <v>0</v>
      </c>
      <c r="L437" s="3">
        <v>1</v>
      </c>
      <c r="M437" s="3">
        <v>39</v>
      </c>
      <c r="N437" t="s">
        <v>27</v>
      </c>
    </row>
    <row r="438" spans="1:14" ht="15" customHeight="1">
      <c r="A438" t="s">
        <v>513</v>
      </c>
      <c r="B438" t="s">
        <v>79</v>
      </c>
      <c r="C438" s="8" t="s">
        <v>33</v>
      </c>
      <c r="D438" s="9" t="s">
        <v>19</v>
      </c>
      <c r="E438" t="s">
        <v>20</v>
      </c>
      <c r="F438" s="2">
        <v>46101</v>
      </c>
      <c r="G438" s="3">
        <v>11</v>
      </c>
      <c r="H438" s="2">
        <v>46120</v>
      </c>
      <c r="I438" s="4">
        <v>46122</v>
      </c>
      <c r="J438" s="3">
        <f>COUNTIFS('OOS Events'!$C:$C,B438,'OOS Events'!$D:$D,C438,'OOS Events'!$E:$E,"&gt;="&amp;D438-90,'OOS Events'!$E:$E,"&lt;"&amp;D438)</f>
        <v>0</v>
      </c>
      <c r="K438" s="3">
        <f>COUNTIF('OOS Events'!$B:$B,A438)</f>
        <v>0</v>
      </c>
      <c r="L438" s="3">
        <v>2</v>
      </c>
      <c r="M438" s="3">
        <v>28</v>
      </c>
      <c r="N438" t="s">
        <v>21</v>
      </c>
    </row>
    <row r="439" spans="1:14" ht="15" customHeight="1">
      <c r="A439" t="s">
        <v>514</v>
      </c>
      <c r="B439" t="s">
        <v>206</v>
      </c>
      <c r="C439" s="8" t="s">
        <v>71</v>
      </c>
      <c r="D439" s="9" t="s">
        <v>72</v>
      </c>
      <c r="E439" t="s">
        <v>34</v>
      </c>
      <c r="F439" s="2">
        <v>46102</v>
      </c>
      <c r="G439" s="3">
        <v>10</v>
      </c>
      <c r="H439" s="2">
        <v>46121</v>
      </c>
      <c r="I439" s="2">
        <v>46121</v>
      </c>
      <c r="J439" s="3">
        <f>COUNTIFS('OOS Events'!$C:$C,B439,'OOS Events'!$D:$D,C439,'OOS Events'!$E:$E,"&gt;="&amp;D439-90,'OOS Events'!$E:$E,"&lt;"&amp;D439)</f>
        <v>0</v>
      </c>
      <c r="K439" s="3">
        <f>COUNTIF('OOS Events'!$B:$B,A439)</f>
        <v>0</v>
      </c>
      <c r="L439" s="3">
        <v>0</v>
      </c>
      <c r="M439" s="3">
        <v>21</v>
      </c>
      <c r="N439" t="s">
        <v>40</v>
      </c>
    </row>
    <row r="440" spans="1:14" ht="15" customHeight="1">
      <c r="A440" t="s">
        <v>515</v>
      </c>
      <c r="B440" t="s">
        <v>295</v>
      </c>
      <c r="C440" s="8" t="s">
        <v>33</v>
      </c>
      <c r="D440" s="9" t="s">
        <v>19</v>
      </c>
      <c r="E440" t="s">
        <v>30</v>
      </c>
      <c r="F440" s="2">
        <v>46103</v>
      </c>
      <c r="G440" s="3">
        <v>21</v>
      </c>
      <c r="H440" s="2">
        <v>46131</v>
      </c>
      <c r="I440" s="2">
        <v>46131</v>
      </c>
      <c r="J440" s="3">
        <f>COUNTIFS('OOS Events'!$C:$C,B440,'OOS Events'!$D:$D,C440,'OOS Events'!$E:$E,"&gt;="&amp;D440-90,'OOS Events'!$E:$E,"&lt;"&amp;D440)</f>
        <v>0</v>
      </c>
      <c r="K440" s="3">
        <f>COUNTIF('OOS Events'!$B:$B,A440)</f>
        <v>1</v>
      </c>
      <c r="L440" s="3">
        <v>1</v>
      </c>
      <c r="M440" s="3">
        <v>32</v>
      </c>
      <c r="N440" t="s">
        <v>44</v>
      </c>
    </row>
    <row r="441" spans="1:14" ht="15" customHeight="1">
      <c r="A441" t="s">
        <v>516</v>
      </c>
      <c r="B441" t="s">
        <v>83</v>
      </c>
      <c r="C441" s="8" t="s">
        <v>33</v>
      </c>
      <c r="D441" s="9" t="s">
        <v>19</v>
      </c>
      <c r="E441" t="s">
        <v>26</v>
      </c>
      <c r="F441" s="2">
        <v>46105</v>
      </c>
      <c r="G441" s="3">
        <v>20</v>
      </c>
      <c r="H441" s="2">
        <v>46134</v>
      </c>
      <c r="I441" s="2">
        <v>46133</v>
      </c>
      <c r="J441" s="3">
        <f>COUNTIFS('OOS Events'!$C:$C,B441,'OOS Events'!$D:$D,C441,'OOS Events'!$E:$E,"&gt;="&amp;D441-90,'OOS Events'!$E:$E,"&lt;"&amp;D441)</f>
        <v>0</v>
      </c>
      <c r="K441" s="3">
        <f>COUNTIF('OOS Events'!$B:$B,A441)</f>
        <v>1</v>
      </c>
      <c r="L441" s="3">
        <v>0</v>
      </c>
      <c r="M441" s="3">
        <v>36</v>
      </c>
      <c r="N441" t="s">
        <v>47</v>
      </c>
    </row>
    <row r="442" spans="1:14" ht="15" customHeight="1">
      <c r="A442" t="s">
        <v>517</v>
      </c>
      <c r="B442" t="s">
        <v>238</v>
      </c>
      <c r="C442" s="8" t="s">
        <v>239</v>
      </c>
      <c r="D442" s="9" t="s">
        <v>240</v>
      </c>
      <c r="E442" t="s">
        <v>26</v>
      </c>
      <c r="F442" s="2">
        <v>46106</v>
      </c>
      <c r="G442" s="3">
        <v>19</v>
      </c>
      <c r="H442" s="2">
        <v>46147</v>
      </c>
      <c r="I442" s="2">
        <v>46147</v>
      </c>
      <c r="J442" s="3">
        <f>COUNTIFS('OOS Events'!$C:$C,B442,'OOS Events'!$D:$D,C442,'OOS Events'!$E:$E,"&gt;="&amp;D442-90,'OOS Events'!$E:$E,"&lt;"&amp;D442)</f>
        <v>0</v>
      </c>
      <c r="K442" s="3">
        <f>COUNTIF('OOS Events'!$B:$B,A442)</f>
        <v>1</v>
      </c>
      <c r="L442" s="3">
        <v>0</v>
      </c>
      <c r="M442" s="3">
        <v>26</v>
      </c>
      <c r="N442" t="s">
        <v>27</v>
      </c>
    </row>
    <row r="443" spans="1:14" ht="15" customHeight="1">
      <c r="A443" t="s">
        <v>518</v>
      </c>
      <c r="B443" t="s">
        <v>87</v>
      </c>
      <c r="C443" s="8" t="s">
        <v>71</v>
      </c>
      <c r="D443" s="9" t="s">
        <v>72</v>
      </c>
      <c r="E443" t="s">
        <v>20</v>
      </c>
      <c r="F443" s="2">
        <v>46107</v>
      </c>
      <c r="G443" s="3">
        <v>17</v>
      </c>
      <c r="H443" s="2">
        <v>46128</v>
      </c>
      <c r="I443" s="2">
        <v>46128</v>
      </c>
      <c r="J443" s="3">
        <f>COUNTIFS('OOS Events'!$C:$C,B443,'OOS Events'!$D:$D,C443,'OOS Events'!$E:$E,"&gt;="&amp;D443-90,'OOS Events'!$E:$E,"&lt;"&amp;D443)</f>
        <v>0</v>
      </c>
      <c r="K443" s="3">
        <f>COUNTIF('OOS Events'!$B:$B,A443)</f>
        <v>0</v>
      </c>
      <c r="L443" s="3">
        <v>2</v>
      </c>
      <c r="M443" s="3">
        <v>12</v>
      </c>
      <c r="N443" t="s">
        <v>40</v>
      </c>
    </row>
    <row r="444" spans="1:14" ht="15" customHeight="1">
      <c r="A444" t="s">
        <v>519</v>
      </c>
      <c r="B444" t="s">
        <v>89</v>
      </c>
      <c r="C444" s="8" t="s">
        <v>24</v>
      </c>
      <c r="D444" s="9" t="s">
        <v>25</v>
      </c>
      <c r="E444" t="s">
        <v>34</v>
      </c>
      <c r="F444" s="2">
        <v>46109</v>
      </c>
      <c r="G444" s="3">
        <v>14</v>
      </c>
      <c r="H444" s="2">
        <v>46145</v>
      </c>
      <c r="I444" s="4">
        <v>46146</v>
      </c>
      <c r="J444" s="3">
        <f>COUNTIFS('OOS Events'!$C:$C,B444,'OOS Events'!$D:$D,C444,'OOS Events'!$E:$E,"&gt;="&amp;D444-90,'OOS Events'!$E:$E,"&lt;"&amp;D444)</f>
        <v>0</v>
      </c>
      <c r="K444" s="3">
        <f>COUNTIF('OOS Events'!$B:$B,A444)</f>
        <v>0</v>
      </c>
      <c r="L444" s="3">
        <v>2</v>
      </c>
      <c r="M444" s="3">
        <v>35</v>
      </c>
      <c r="N444" t="s">
        <v>35</v>
      </c>
    </row>
    <row r="445" spans="1:14" ht="15" customHeight="1">
      <c r="A445" t="s">
        <v>520</v>
      </c>
      <c r="B445" t="s">
        <v>273</v>
      </c>
      <c r="C445" s="8" t="s">
        <v>24</v>
      </c>
      <c r="D445" s="9" t="s">
        <v>25</v>
      </c>
      <c r="E445" t="s">
        <v>20</v>
      </c>
      <c r="F445" s="2">
        <v>46110</v>
      </c>
      <c r="G445" s="3">
        <v>17</v>
      </c>
      <c r="H445" s="2">
        <v>46135</v>
      </c>
      <c r="I445" s="4">
        <v>46143</v>
      </c>
      <c r="J445" s="3">
        <f>COUNTIFS('OOS Events'!$C:$C,B445,'OOS Events'!$D:$D,C445,'OOS Events'!$E:$E,"&gt;="&amp;D445-90,'OOS Events'!$E:$E,"&lt;"&amp;D445)</f>
        <v>0</v>
      </c>
      <c r="K445" s="3">
        <f>COUNTIF('OOS Events'!$B:$B,A445)</f>
        <v>2</v>
      </c>
      <c r="L445" s="3">
        <v>0</v>
      </c>
      <c r="M445" s="3">
        <v>21</v>
      </c>
      <c r="N445" t="s">
        <v>44</v>
      </c>
    </row>
    <row r="446" spans="1:14" ht="15" customHeight="1">
      <c r="A446" t="s">
        <v>521</v>
      </c>
      <c r="B446" t="s">
        <v>23</v>
      </c>
      <c r="C446" s="8" t="s">
        <v>24</v>
      </c>
      <c r="D446" s="9" t="s">
        <v>25</v>
      </c>
      <c r="E446" t="s">
        <v>26</v>
      </c>
      <c r="F446" s="2">
        <v>46111</v>
      </c>
      <c r="G446" s="3">
        <v>24</v>
      </c>
      <c r="H446" s="2">
        <v>46149</v>
      </c>
      <c r="I446" s="4">
        <v>46151</v>
      </c>
      <c r="J446" s="3">
        <f>COUNTIFS('OOS Events'!$C:$C,B446,'OOS Events'!$D:$D,C446,'OOS Events'!$E:$E,"&gt;="&amp;D446-90,'OOS Events'!$E:$E,"&lt;"&amp;D446)</f>
        <v>0</v>
      </c>
      <c r="K446" s="3">
        <f>COUNTIF('OOS Events'!$B:$B,A446)</f>
        <v>0</v>
      </c>
      <c r="L446" s="3">
        <v>0</v>
      </c>
      <c r="M446" s="3">
        <v>18</v>
      </c>
      <c r="N446" t="s">
        <v>27</v>
      </c>
    </row>
    <row r="447" spans="1:14" ht="15" customHeight="1">
      <c r="A447" t="s">
        <v>522</v>
      </c>
      <c r="B447" t="s">
        <v>37</v>
      </c>
      <c r="C447" s="8" t="s">
        <v>38</v>
      </c>
      <c r="D447" s="9" t="s">
        <v>39</v>
      </c>
      <c r="E447" t="s">
        <v>26</v>
      </c>
      <c r="F447" s="2">
        <v>46114</v>
      </c>
      <c r="G447" s="3">
        <v>22</v>
      </c>
      <c r="H447" s="2">
        <v>46136</v>
      </c>
      <c r="I447" s="4">
        <v>46137</v>
      </c>
      <c r="J447" s="3">
        <f>COUNTIFS('OOS Events'!$C:$C,B447,'OOS Events'!$D:$D,C447,'OOS Events'!$E:$E,"&gt;="&amp;D447-90,'OOS Events'!$E:$E,"&lt;"&amp;D447)</f>
        <v>0</v>
      </c>
      <c r="K447" s="3">
        <f>COUNTIF('OOS Events'!$B:$B,A447)</f>
        <v>1</v>
      </c>
      <c r="L447" s="3">
        <v>0</v>
      </c>
      <c r="M447" s="3">
        <v>28</v>
      </c>
      <c r="N447" t="s">
        <v>40</v>
      </c>
    </row>
    <row r="448" spans="1:14" ht="15" customHeight="1">
      <c r="A448" t="s">
        <v>523</v>
      </c>
      <c r="B448" t="s">
        <v>42</v>
      </c>
      <c r="C448" s="8" t="s">
        <v>24</v>
      </c>
      <c r="D448" s="9" t="s">
        <v>25</v>
      </c>
      <c r="E448" t="s">
        <v>34</v>
      </c>
      <c r="F448" s="2">
        <v>46115</v>
      </c>
      <c r="G448" s="3">
        <v>19</v>
      </c>
      <c r="H448" s="2">
        <v>46144</v>
      </c>
      <c r="I448" s="4">
        <v>46149</v>
      </c>
      <c r="J448" s="3">
        <f>COUNTIFS('OOS Events'!$C:$C,B448,'OOS Events'!$D:$D,C448,'OOS Events'!$E:$E,"&gt;="&amp;D448-90,'OOS Events'!$E:$E,"&lt;"&amp;D448)</f>
        <v>0</v>
      </c>
      <c r="K448" s="3">
        <f>COUNTIF('OOS Events'!$B:$B,A448)</f>
        <v>0</v>
      </c>
      <c r="L448" s="3">
        <v>0</v>
      </c>
      <c r="M448" s="3">
        <v>20</v>
      </c>
      <c r="N448" t="s">
        <v>44</v>
      </c>
    </row>
    <row r="449" spans="1:14" ht="15" customHeight="1">
      <c r="A449" t="s">
        <v>524</v>
      </c>
      <c r="B449" t="s">
        <v>130</v>
      </c>
      <c r="C449" s="8" t="s">
        <v>71</v>
      </c>
      <c r="D449" s="9" t="s">
        <v>72</v>
      </c>
      <c r="E449" t="s">
        <v>20</v>
      </c>
      <c r="F449" s="2">
        <v>46116</v>
      </c>
      <c r="G449" s="3">
        <v>21</v>
      </c>
      <c r="H449" s="2">
        <v>46129</v>
      </c>
      <c r="I449" s="2">
        <v>46129</v>
      </c>
      <c r="J449" s="3">
        <f>COUNTIFS('OOS Events'!$C:$C,B449,'OOS Events'!$D:$D,C449,'OOS Events'!$E:$E,"&gt;="&amp;D449-90,'OOS Events'!$E:$E,"&lt;"&amp;D449)</f>
        <v>0</v>
      </c>
      <c r="K449" s="3">
        <f>COUNTIF('OOS Events'!$B:$B,A449)</f>
        <v>1</v>
      </c>
      <c r="L449" s="3">
        <v>1</v>
      </c>
      <c r="M449" s="3">
        <v>17</v>
      </c>
      <c r="N449" t="s">
        <v>21</v>
      </c>
    </row>
    <row r="450" spans="1:14" ht="15" customHeight="1">
      <c r="A450" t="s">
        <v>525</v>
      </c>
      <c r="B450" t="s">
        <v>51</v>
      </c>
      <c r="C450" s="8" t="s">
        <v>38</v>
      </c>
      <c r="D450" s="9" t="s">
        <v>39</v>
      </c>
      <c r="E450" t="s">
        <v>43</v>
      </c>
      <c r="F450" s="2">
        <v>46118</v>
      </c>
      <c r="G450" s="3">
        <v>14</v>
      </c>
      <c r="H450" s="2">
        <v>46153</v>
      </c>
      <c r="I450" s="2">
        <v>46153</v>
      </c>
      <c r="J450" s="3">
        <f>COUNTIFS('OOS Events'!$C:$C,B450,'OOS Events'!$D:$D,C450,'OOS Events'!$E:$E,"&gt;="&amp;D450-90,'OOS Events'!$E:$E,"&lt;"&amp;D450)</f>
        <v>0</v>
      </c>
      <c r="K450" s="3">
        <f>COUNTIF('OOS Events'!$B:$B,A450)</f>
        <v>0</v>
      </c>
      <c r="L450" s="3">
        <v>2</v>
      </c>
      <c r="M450" s="3">
        <v>34</v>
      </c>
      <c r="N450" t="s">
        <v>27</v>
      </c>
    </row>
    <row r="451" spans="1:14" ht="15" customHeight="1">
      <c r="A451" t="s">
        <v>526</v>
      </c>
      <c r="B451" t="s">
        <v>53</v>
      </c>
      <c r="C451" s="8" t="s">
        <v>24</v>
      </c>
      <c r="D451" s="9" t="s">
        <v>25</v>
      </c>
      <c r="E451" t="s">
        <v>60</v>
      </c>
      <c r="F451" s="2">
        <v>46119</v>
      </c>
      <c r="G451" s="3">
        <v>17</v>
      </c>
      <c r="H451" s="2">
        <v>46140</v>
      </c>
      <c r="I451" s="4">
        <v>46142</v>
      </c>
      <c r="J451" s="3">
        <f>COUNTIFS('OOS Events'!$C:$C,B451,'OOS Events'!$D:$D,C451,'OOS Events'!$E:$E,"&gt;="&amp;D451-90,'OOS Events'!$E:$E,"&lt;"&amp;D451)</f>
        <v>0</v>
      </c>
      <c r="K451" s="3">
        <f>COUNTIF('OOS Events'!$B:$B,A451)</f>
        <v>0</v>
      </c>
      <c r="L451" s="3">
        <v>0</v>
      </c>
      <c r="M451" s="3">
        <v>31</v>
      </c>
      <c r="N451" t="s">
        <v>40</v>
      </c>
    </row>
    <row r="452" spans="1:14" ht="15" customHeight="1">
      <c r="A452" t="s">
        <v>527</v>
      </c>
      <c r="B452" t="s">
        <v>163</v>
      </c>
      <c r="C452" s="8" t="s">
        <v>71</v>
      </c>
      <c r="D452" s="9" t="s">
        <v>72</v>
      </c>
      <c r="E452" t="s">
        <v>26</v>
      </c>
      <c r="F452" s="2">
        <v>46120</v>
      </c>
      <c r="G452" s="3">
        <v>18</v>
      </c>
      <c r="H452" s="2">
        <v>46153</v>
      </c>
      <c r="I452" s="2">
        <v>46153</v>
      </c>
      <c r="J452" s="3">
        <f>COUNTIFS('OOS Events'!$C:$C,B452,'OOS Events'!$D:$D,C452,'OOS Events'!$E:$E,"&gt;="&amp;D452-90,'OOS Events'!$E:$E,"&lt;"&amp;D452)</f>
        <v>0</v>
      </c>
      <c r="K452" s="3">
        <f>COUNTIF('OOS Events'!$B:$B,A452)</f>
        <v>0</v>
      </c>
      <c r="L452" s="3">
        <v>0</v>
      </c>
      <c r="M452" s="3">
        <v>11</v>
      </c>
      <c r="N452" t="s">
        <v>47</v>
      </c>
    </row>
    <row r="453" spans="1:14" ht="15" customHeight="1">
      <c r="A453" t="s">
        <v>528</v>
      </c>
      <c r="B453" t="s">
        <v>59</v>
      </c>
      <c r="C453" s="8" t="s">
        <v>24</v>
      </c>
      <c r="D453" s="9" t="s">
        <v>25</v>
      </c>
      <c r="E453" t="s">
        <v>60</v>
      </c>
      <c r="F453" s="2">
        <v>46122</v>
      </c>
      <c r="G453" s="3">
        <v>24</v>
      </c>
      <c r="H453" s="2">
        <v>46148</v>
      </c>
      <c r="I453" s="2">
        <v>46148</v>
      </c>
      <c r="J453" s="3">
        <f>COUNTIFS('OOS Events'!$C:$C,B453,'OOS Events'!$D:$D,C453,'OOS Events'!$E:$E,"&gt;="&amp;D453-90,'OOS Events'!$E:$E,"&lt;"&amp;D453)</f>
        <v>0</v>
      </c>
      <c r="K453" s="3">
        <f>COUNTIF('OOS Events'!$B:$B,A453)</f>
        <v>0</v>
      </c>
      <c r="L453" s="3">
        <v>1</v>
      </c>
      <c r="M453" s="3">
        <v>34</v>
      </c>
      <c r="N453" t="s">
        <v>44</v>
      </c>
    </row>
    <row r="454" spans="1:14" ht="15" customHeight="1">
      <c r="A454" t="s">
        <v>529</v>
      </c>
      <c r="B454" t="s">
        <v>62</v>
      </c>
      <c r="C454" s="8" t="s">
        <v>33</v>
      </c>
      <c r="D454" s="9" t="s">
        <v>19</v>
      </c>
      <c r="E454" t="s">
        <v>34</v>
      </c>
      <c r="F454" s="2">
        <v>46123</v>
      </c>
      <c r="G454" s="3">
        <v>10</v>
      </c>
      <c r="H454" s="2">
        <v>46165</v>
      </c>
      <c r="I454" s="4">
        <v>46177</v>
      </c>
      <c r="J454" s="3">
        <f>COUNTIFS('OOS Events'!$C:$C,B454,'OOS Events'!$D:$D,C454,'OOS Events'!$E:$E,"&gt;="&amp;D454-90,'OOS Events'!$E:$E,"&lt;"&amp;D454)</f>
        <v>0</v>
      </c>
      <c r="K454" s="3">
        <f>COUNTIF('OOS Events'!$B:$B,A454)</f>
        <v>1</v>
      </c>
      <c r="L454" s="3">
        <v>0</v>
      </c>
      <c r="M454" s="3">
        <v>32</v>
      </c>
      <c r="N454" t="s">
        <v>27</v>
      </c>
    </row>
    <row r="455" spans="1:14" ht="15" customHeight="1">
      <c r="A455" t="s">
        <v>530</v>
      </c>
      <c r="B455" t="s">
        <v>196</v>
      </c>
      <c r="C455" s="8" t="s">
        <v>71</v>
      </c>
      <c r="D455" s="9" t="s">
        <v>72</v>
      </c>
      <c r="E455" t="s">
        <v>43</v>
      </c>
      <c r="F455" s="2">
        <v>46124</v>
      </c>
      <c r="G455" s="3">
        <v>20</v>
      </c>
      <c r="H455" s="2">
        <v>46156</v>
      </c>
      <c r="I455" s="2">
        <v>46156</v>
      </c>
      <c r="J455" s="3">
        <f>COUNTIFS('OOS Events'!$C:$C,B455,'OOS Events'!$D:$D,C455,'OOS Events'!$E:$E,"&gt;="&amp;D455-90,'OOS Events'!$E:$E,"&lt;"&amp;D455)</f>
        <v>0</v>
      </c>
      <c r="K455" s="3">
        <f>COUNTIF('OOS Events'!$B:$B,A455)</f>
        <v>1</v>
      </c>
      <c r="L455" s="3">
        <v>0</v>
      </c>
      <c r="M455" s="3">
        <v>20</v>
      </c>
      <c r="N455" t="s">
        <v>35</v>
      </c>
    </row>
    <row r="456" spans="1:14" ht="15" customHeight="1">
      <c r="A456" t="s">
        <v>531</v>
      </c>
      <c r="B456" t="s">
        <v>66</v>
      </c>
      <c r="C456" s="8" t="s">
        <v>24</v>
      </c>
      <c r="D456" s="9" t="s">
        <v>25</v>
      </c>
      <c r="E456" t="s">
        <v>20</v>
      </c>
      <c r="F456" s="2">
        <v>46126</v>
      </c>
      <c r="G456" s="3">
        <v>22</v>
      </c>
      <c r="H456" s="2">
        <v>46148</v>
      </c>
      <c r="I456" s="2">
        <v>46145</v>
      </c>
      <c r="J456" s="3">
        <f>COUNTIFS('OOS Events'!$C:$C,B456,'OOS Events'!$D:$D,C456,'OOS Events'!$E:$E,"&gt;="&amp;D456-90,'OOS Events'!$E:$E,"&lt;"&amp;D456)</f>
        <v>0</v>
      </c>
      <c r="K456" s="3">
        <f>COUNTIF('OOS Events'!$B:$B,A456)</f>
        <v>0</v>
      </c>
      <c r="L456" s="3">
        <v>1</v>
      </c>
      <c r="M456" s="3">
        <v>26</v>
      </c>
      <c r="N456" t="s">
        <v>40</v>
      </c>
    </row>
    <row r="457" spans="1:14" ht="15" customHeight="1">
      <c r="A457" t="s">
        <v>532</v>
      </c>
      <c r="B457" t="s">
        <v>68</v>
      </c>
      <c r="C457" s="8" t="s">
        <v>24</v>
      </c>
      <c r="D457" s="9" t="s">
        <v>25</v>
      </c>
      <c r="E457" t="s">
        <v>30</v>
      </c>
      <c r="F457" s="2">
        <v>46127</v>
      </c>
      <c r="G457" s="3">
        <v>9</v>
      </c>
      <c r="H457" s="2">
        <v>46149</v>
      </c>
      <c r="I457" s="4">
        <v>46154</v>
      </c>
      <c r="J457" s="3">
        <f>COUNTIFS('OOS Events'!$C:$C,B457,'OOS Events'!$D:$D,C457,'OOS Events'!$E:$E,"&gt;="&amp;D457-90,'OOS Events'!$E:$E,"&lt;"&amp;D457)</f>
        <v>0</v>
      </c>
      <c r="K457" s="3">
        <f>COUNTIF('OOS Events'!$B:$B,A457)</f>
        <v>1</v>
      </c>
      <c r="L457" s="3">
        <v>0</v>
      </c>
      <c r="M457" s="3">
        <v>35</v>
      </c>
      <c r="N457" t="s">
        <v>44</v>
      </c>
    </row>
    <row r="458" spans="1:14" ht="15" customHeight="1">
      <c r="A458" t="s">
        <v>533</v>
      </c>
      <c r="B458" t="s">
        <v>142</v>
      </c>
      <c r="C458" s="8" t="s">
        <v>71</v>
      </c>
      <c r="D458" s="9" t="s">
        <v>72</v>
      </c>
      <c r="E458" t="s">
        <v>43</v>
      </c>
      <c r="F458" s="2">
        <v>46127</v>
      </c>
      <c r="G458" s="3">
        <v>20</v>
      </c>
      <c r="H458" s="2">
        <v>46153</v>
      </c>
      <c r="I458" s="2">
        <v>46153</v>
      </c>
      <c r="J458" s="3">
        <f>COUNTIFS('OOS Events'!$C:$C,B458,'OOS Events'!$D:$D,C458,'OOS Events'!$E:$E,"&gt;="&amp;D458-90,'OOS Events'!$E:$E,"&lt;"&amp;D458)</f>
        <v>0</v>
      </c>
      <c r="K458" s="3">
        <f>COUNTIF('OOS Events'!$B:$B,A458)</f>
        <v>1</v>
      </c>
      <c r="L458" s="3">
        <v>0</v>
      </c>
      <c r="M458" s="3">
        <v>13</v>
      </c>
      <c r="N458" t="s">
        <v>47</v>
      </c>
    </row>
    <row r="459" spans="1:14" ht="15" customHeight="1">
      <c r="A459" t="s">
        <v>534</v>
      </c>
      <c r="B459" t="s">
        <v>229</v>
      </c>
      <c r="C459" s="8" t="s">
        <v>33</v>
      </c>
      <c r="D459" s="9" t="s">
        <v>19</v>
      </c>
      <c r="E459" t="s">
        <v>60</v>
      </c>
      <c r="F459" s="2">
        <v>46128</v>
      </c>
      <c r="G459" s="3">
        <v>18</v>
      </c>
      <c r="H459" s="2">
        <v>46144</v>
      </c>
      <c r="I459" s="4">
        <v>46156</v>
      </c>
      <c r="J459" s="3">
        <f>COUNTIFS('OOS Events'!$C:$C,B459,'OOS Events'!$D:$D,C459,'OOS Events'!$E:$E,"&gt;="&amp;D459-90,'OOS Events'!$E:$E,"&lt;"&amp;D459)</f>
        <v>0</v>
      </c>
      <c r="K459" s="3">
        <f>COUNTIF('OOS Events'!$B:$B,A459)</f>
        <v>0</v>
      </c>
      <c r="L459" s="3">
        <v>0</v>
      </c>
      <c r="M459" s="3">
        <v>17</v>
      </c>
      <c r="N459" t="s">
        <v>21</v>
      </c>
    </row>
    <row r="460" spans="1:14" ht="15" customHeight="1">
      <c r="A460" t="s">
        <v>535</v>
      </c>
      <c r="B460" t="s">
        <v>74</v>
      </c>
      <c r="C460" s="8" t="s">
        <v>75</v>
      </c>
      <c r="D460" s="9" t="s">
        <v>72</v>
      </c>
      <c r="E460" t="s">
        <v>30</v>
      </c>
      <c r="F460" s="2">
        <v>46130</v>
      </c>
      <c r="G460" s="3">
        <v>10</v>
      </c>
      <c r="H460" s="2">
        <v>46166</v>
      </c>
      <c r="I460" s="2">
        <v>46166</v>
      </c>
      <c r="J460" s="3">
        <f>COUNTIFS('OOS Events'!$C:$C,B460,'OOS Events'!$D:$D,C460,'OOS Events'!$E:$E,"&gt;="&amp;D460-90,'OOS Events'!$E:$E,"&lt;"&amp;D460)</f>
        <v>0</v>
      </c>
      <c r="K460" s="3">
        <f>COUNTIF('OOS Events'!$B:$B,A460)</f>
        <v>0</v>
      </c>
      <c r="L460" s="3">
        <v>0</v>
      </c>
      <c r="M460" s="3">
        <v>44</v>
      </c>
      <c r="N460" t="s">
        <v>27</v>
      </c>
    </row>
    <row r="461" spans="1:14" ht="15" customHeight="1">
      <c r="A461" t="s">
        <v>536</v>
      </c>
      <c r="B461" t="s">
        <v>77</v>
      </c>
      <c r="C461" s="8" t="s">
        <v>33</v>
      </c>
      <c r="D461" s="9" t="s">
        <v>19</v>
      </c>
      <c r="E461" t="s">
        <v>20</v>
      </c>
      <c r="F461" s="2">
        <v>46131</v>
      </c>
      <c r="G461" s="3">
        <v>22</v>
      </c>
      <c r="H461" s="2">
        <v>46156</v>
      </c>
      <c r="I461" s="2">
        <v>46154</v>
      </c>
      <c r="J461" s="3">
        <f>COUNTIFS('OOS Events'!$C:$C,B461,'OOS Events'!$D:$D,C461,'OOS Events'!$E:$E,"&gt;="&amp;D461-90,'OOS Events'!$E:$E,"&lt;"&amp;D461)</f>
        <v>0</v>
      </c>
      <c r="K461" s="3">
        <f>COUNTIF('OOS Events'!$B:$B,A461)</f>
        <v>0</v>
      </c>
      <c r="L461" s="3">
        <v>1</v>
      </c>
      <c r="M461" s="3">
        <v>25</v>
      </c>
      <c r="N461" t="s">
        <v>40</v>
      </c>
    </row>
    <row r="462" spans="1:14" ht="15" customHeight="1">
      <c r="A462" t="s">
        <v>537</v>
      </c>
      <c r="B462" t="s">
        <v>174</v>
      </c>
      <c r="C462" s="8" t="s">
        <v>71</v>
      </c>
      <c r="D462" s="9" t="s">
        <v>72</v>
      </c>
      <c r="E462" t="s">
        <v>60</v>
      </c>
      <c r="F462" s="2">
        <v>46131</v>
      </c>
      <c r="G462" s="3">
        <v>24</v>
      </c>
      <c r="H462" s="2">
        <v>46166</v>
      </c>
      <c r="I462" s="2">
        <v>46165</v>
      </c>
      <c r="J462" s="3">
        <f>COUNTIFS('OOS Events'!$C:$C,B462,'OOS Events'!$D:$D,C462,'OOS Events'!$E:$E,"&gt;="&amp;D462-90,'OOS Events'!$E:$E,"&lt;"&amp;D462)</f>
        <v>0</v>
      </c>
      <c r="K462" s="3">
        <f>COUNTIF('OOS Events'!$B:$B,A462)</f>
        <v>0</v>
      </c>
      <c r="L462" s="3">
        <v>0</v>
      </c>
      <c r="M462" s="3">
        <v>34</v>
      </c>
      <c r="N462" t="s">
        <v>35</v>
      </c>
    </row>
    <row r="463" spans="1:14" ht="15" customHeight="1">
      <c r="A463" t="s">
        <v>538</v>
      </c>
      <c r="B463" t="s">
        <v>263</v>
      </c>
      <c r="C463" s="8" t="s">
        <v>33</v>
      </c>
      <c r="D463" s="9" t="s">
        <v>19</v>
      </c>
      <c r="E463" t="s">
        <v>20</v>
      </c>
      <c r="F463" s="2">
        <v>46132</v>
      </c>
      <c r="G463" s="3">
        <v>17</v>
      </c>
      <c r="H463" s="2">
        <v>46161</v>
      </c>
      <c r="I463" s="2">
        <v>46161</v>
      </c>
      <c r="J463" s="3">
        <f>COUNTIFS('OOS Events'!$C:$C,B463,'OOS Events'!$D:$D,C463,'OOS Events'!$E:$E,"&gt;="&amp;D463-90,'OOS Events'!$E:$E,"&lt;"&amp;D463)</f>
        <v>0</v>
      </c>
      <c r="K463" s="3">
        <f>COUNTIF('OOS Events'!$B:$B,A463)</f>
        <v>0</v>
      </c>
      <c r="L463" s="3">
        <v>1</v>
      </c>
      <c r="M463" s="3">
        <v>21</v>
      </c>
      <c r="N463" t="s">
        <v>47</v>
      </c>
    </row>
    <row r="464" spans="1:14" ht="15" customHeight="1">
      <c r="A464" t="s">
        <v>539</v>
      </c>
      <c r="B464" t="s">
        <v>79</v>
      </c>
      <c r="C464" s="8" t="s">
        <v>33</v>
      </c>
      <c r="D464" s="9" t="s">
        <v>19</v>
      </c>
      <c r="E464" t="s">
        <v>20</v>
      </c>
      <c r="F464" s="2">
        <v>46134</v>
      </c>
      <c r="G464" s="3">
        <v>17</v>
      </c>
      <c r="H464" s="2">
        <v>46156</v>
      </c>
      <c r="I464" s="4">
        <v>46158</v>
      </c>
      <c r="J464" s="3">
        <f>COUNTIFS('OOS Events'!$C:$C,B464,'OOS Events'!$D:$D,C464,'OOS Events'!$E:$E,"&gt;="&amp;D464-90,'OOS Events'!$E:$E,"&lt;"&amp;D464)</f>
        <v>0</v>
      </c>
      <c r="K464" s="3">
        <f>COUNTIF('OOS Events'!$B:$B,A464)</f>
        <v>1</v>
      </c>
      <c r="L464" s="3">
        <v>2</v>
      </c>
      <c r="M464" s="3">
        <v>17</v>
      </c>
      <c r="N464" t="s">
        <v>44</v>
      </c>
    </row>
    <row r="465" spans="1:14" ht="15" customHeight="1">
      <c r="A465" t="s">
        <v>540</v>
      </c>
      <c r="B465" t="s">
        <v>81</v>
      </c>
      <c r="C465" s="8" t="s">
        <v>71</v>
      </c>
      <c r="D465" s="9" t="s">
        <v>72</v>
      </c>
      <c r="E465" t="s">
        <v>60</v>
      </c>
      <c r="F465" s="2">
        <v>46135</v>
      </c>
      <c r="G465" s="3">
        <v>30</v>
      </c>
      <c r="H465" s="2">
        <v>46170</v>
      </c>
      <c r="I465" s="4">
        <v>46172</v>
      </c>
      <c r="J465" s="3">
        <f>COUNTIFS('OOS Events'!$C:$C,B465,'OOS Events'!$D:$D,C465,'OOS Events'!$E:$E,"&gt;="&amp;D465-90,'OOS Events'!$E:$E,"&lt;"&amp;D465)</f>
        <v>0</v>
      </c>
      <c r="K465" s="3">
        <f>COUNTIF('OOS Events'!$B:$B,A465)</f>
        <v>0</v>
      </c>
      <c r="L465" s="3">
        <v>2</v>
      </c>
      <c r="M465" s="3">
        <v>19</v>
      </c>
      <c r="N465" t="s">
        <v>27</v>
      </c>
    </row>
    <row r="466" spans="1:14" ht="15" customHeight="1">
      <c r="A466" t="s">
        <v>541</v>
      </c>
      <c r="B466" t="s">
        <v>206</v>
      </c>
      <c r="C466" s="8" t="s">
        <v>71</v>
      </c>
      <c r="D466" s="9" t="s">
        <v>72</v>
      </c>
      <c r="E466" t="s">
        <v>34</v>
      </c>
      <c r="F466" s="2">
        <v>46135</v>
      </c>
      <c r="G466" s="3">
        <v>16</v>
      </c>
      <c r="H466" s="2">
        <v>46148</v>
      </c>
      <c r="I466" s="4">
        <v>46153</v>
      </c>
      <c r="J466" s="3">
        <f>COUNTIFS('OOS Events'!$C:$C,B466,'OOS Events'!$D:$D,C466,'OOS Events'!$E:$E,"&gt;="&amp;D466-90,'OOS Events'!$E:$E,"&lt;"&amp;D466)</f>
        <v>0</v>
      </c>
      <c r="K466" s="3">
        <f>COUNTIF('OOS Events'!$B:$B,A466)</f>
        <v>2</v>
      </c>
      <c r="L466" s="3">
        <v>2</v>
      </c>
      <c r="M466" s="3">
        <v>14</v>
      </c>
      <c r="N466" t="s">
        <v>21</v>
      </c>
    </row>
    <row r="467" spans="1:14" ht="15" customHeight="1">
      <c r="A467" t="s">
        <v>542</v>
      </c>
      <c r="B467" t="s">
        <v>295</v>
      </c>
      <c r="C467" s="8" t="s">
        <v>33</v>
      </c>
      <c r="D467" s="9" t="s">
        <v>19</v>
      </c>
      <c r="E467" t="s">
        <v>30</v>
      </c>
      <c r="F467" s="2">
        <v>46136</v>
      </c>
      <c r="G467" s="3">
        <v>18</v>
      </c>
      <c r="H467" s="2">
        <v>46168</v>
      </c>
      <c r="I467" s="2">
        <v>46168</v>
      </c>
      <c r="J467" s="3">
        <f>COUNTIFS('OOS Events'!$C:$C,B467,'OOS Events'!$D:$D,C467,'OOS Events'!$E:$E,"&gt;="&amp;D467-90,'OOS Events'!$E:$E,"&lt;"&amp;D467)</f>
        <v>0</v>
      </c>
      <c r="K467" s="3">
        <f>COUNTIF('OOS Events'!$B:$B,A467)</f>
        <v>0</v>
      </c>
      <c r="L467" s="3">
        <v>0</v>
      </c>
      <c r="M467" s="3">
        <v>24</v>
      </c>
      <c r="N467" t="s">
        <v>35</v>
      </c>
    </row>
    <row r="468" spans="1:14" ht="15" customHeight="1">
      <c r="A468" t="s">
        <v>543</v>
      </c>
      <c r="B468" t="s">
        <v>83</v>
      </c>
      <c r="C468" s="8" t="s">
        <v>33</v>
      </c>
      <c r="D468" s="9" t="s">
        <v>19</v>
      </c>
      <c r="E468" t="s">
        <v>26</v>
      </c>
      <c r="F468" s="2">
        <v>46138</v>
      </c>
      <c r="G468" s="3">
        <v>16</v>
      </c>
      <c r="H468" s="2">
        <v>46163</v>
      </c>
      <c r="I468" s="2">
        <v>46162</v>
      </c>
      <c r="J468" s="3">
        <f>COUNTIFS('OOS Events'!$C:$C,B468,'OOS Events'!$D:$D,C468,'OOS Events'!$E:$E,"&gt;="&amp;D468-90,'OOS Events'!$E:$E,"&lt;"&amp;D468)</f>
        <v>0</v>
      </c>
      <c r="K468" s="3">
        <f>COUNTIF('OOS Events'!$B:$B,A468)</f>
        <v>0</v>
      </c>
      <c r="L468" s="3">
        <v>0</v>
      </c>
      <c r="M468" s="3">
        <v>23</v>
      </c>
      <c r="N468" t="s">
        <v>40</v>
      </c>
    </row>
    <row r="469" spans="1:14" ht="15" customHeight="1">
      <c r="A469" t="s">
        <v>544</v>
      </c>
      <c r="B469" t="s">
        <v>238</v>
      </c>
      <c r="C469" s="8" t="s">
        <v>239</v>
      </c>
      <c r="D469" s="9" t="s">
        <v>240</v>
      </c>
      <c r="E469" t="s">
        <v>30</v>
      </c>
      <c r="F469" s="2">
        <v>46139</v>
      </c>
      <c r="G469" s="3">
        <v>17</v>
      </c>
      <c r="H469" s="2">
        <v>46165</v>
      </c>
      <c r="I469" s="2">
        <v>46164</v>
      </c>
      <c r="J469" s="3">
        <f>COUNTIFS('OOS Events'!$C:$C,B469,'OOS Events'!$D:$D,C469,'OOS Events'!$E:$E,"&gt;="&amp;D469-90,'OOS Events'!$E:$E,"&lt;"&amp;D469)</f>
        <v>0</v>
      </c>
      <c r="K469" s="3">
        <f>COUNTIF('OOS Events'!$B:$B,A469)</f>
        <v>0</v>
      </c>
      <c r="L469" s="3">
        <v>0</v>
      </c>
      <c r="M469" s="3">
        <v>17</v>
      </c>
      <c r="N469" t="s">
        <v>47</v>
      </c>
    </row>
    <row r="470" spans="1:14" ht="15" customHeight="1">
      <c r="A470" t="s">
        <v>545</v>
      </c>
      <c r="B470" t="s">
        <v>87</v>
      </c>
      <c r="C470" s="8" t="s">
        <v>71</v>
      </c>
      <c r="D470" s="9" t="s">
        <v>72</v>
      </c>
      <c r="E470" t="s">
        <v>20</v>
      </c>
      <c r="F470" s="2">
        <v>46140</v>
      </c>
      <c r="G470" s="3">
        <v>19</v>
      </c>
      <c r="H470" s="2">
        <v>46158</v>
      </c>
      <c r="I470" s="4">
        <v>46163</v>
      </c>
      <c r="J470" s="3">
        <f>COUNTIFS('OOS Events'!$C:$C,B470,'OOS Events'!$D:$D,C470,'OOS Events'!$E:$E,"&gt;="&amp;D470-90,'OOS Events'!$E:$E,"&lt;"&amp;D470)</f>
        <v>0</v>
      </c>
      <c r="K470" s="3">
        <f>COUNTIF('OOS Events'!$B:$B,A470)</f>
        <v>0</v>
      </c>
      <c r="L470" s="3">
        <v>0</v>
      </c>
      <c r="M470" s="3">
        <v>17</v>
      </c>
      <c r="N470" t="s">
        <v>21</v>
      </c>
    </row>
    <row r="471" spans="1:14" ht="15" customHeight="1">
      <c r="A471" t="s">
        <v>546</v>
      </c>
      <c r="B471" t="s">
        <v>89</v>
      </c>
      <c r="C471" s="8" t="s">
        <v>24</v>
      </c>
      <c r="D471" s="9" t="s">
        <v>25</v>
      </c>
      <c r="E471" t="s">
        <v>43</v>
      </c>
      <c r="F471" s="2">
        <v>46142</v>
      </c>
      <c r="G471" s="3">
        <v>20</v>
      </c>
      <c r="H471" s="2">
        <v>46184</v>
      </c>
      <c r="I471" s="4">
        <v>46185</v>
      </c>
      <c r="J471" s="3">
        <f>COUNTIFS('OOS Events'!$C:$C,B471,'OOS Events'!$D:$D,C471,'OOS Events'!$E:$E,"&gt;="&amp;D471-90,'OOS Events'!$E:$E,"&lt;"&amp;D471)</f>
        <v>0</v>
      </c>
      <c r="K471" s="3">
        <f>COUNTIF('OOS Events'!$B:$B,A471)</f>
        <v>1</v>
      </c>
      <c r="L471" s="3">
        <v>1</v>
      </c>
      <c r="M471" s="3">
        <v>30</v>
      </c>
      <c r="N471" t="s">
        <v>27</v>
      </c>
    </row>
    <row r="472" spans="1:14" ht="15" customHeight="1">
      <c r="A472" t="s">
        <v>547</v>
      </c>
      <c r="B472" t="s">
        <v>273</v>
      </c>
      <c r="C472" s="8" t="s">
        <v>24</v>
      </c>
      <c r="D472" s="9" t="s">
        <v>25</v>
      </c>
      <c r="E472" t="s">
        <v>43</v>
      </c>
      <c r="F472" s="2">
        <v>46143</v>
      </c>
      <c r="G472" s="3">
        <v>25</v>
      </c>
      <c r="H472" s="2">
        <v>46174</v>
      </c>
      <c r="I472" s="2">
        <v>46174</v>
      </c>
      <c r="J472" s="3">
        <f>COUNTIFS('OOS Events'!$C:$C,B472,'OOS Events'!$D:$D,C472,'OOS Events'!$E:$E,"&gt;="&amp;D472-90,'OOS Events'!$E:$E,"&lt;"&amp;D472)</f>
        <v>0</v>
      </c>
      <c r="K472" s="3">
        <f>COUNTIF('OOS Events'!$B:$B,A472)</f>
        <v>0</v>
      </c>
      <c r="L472" s="3">
        <v>1</v>
      </c>
      <c r="M472" s="3">
        <v>41</v>
      </c>
      <c r="N472" t="s">
        <v>35</v>
      </c>
    </row>
    <row r="473" spans="1:14" ht="15" customHeight="1">
      <c r="A473" t="s">
        <v>548</v>
      </c>
      <c r="B473" t="s">
        <v>23</v>
      </c>
      <c r="C473" s="8" t="s">
        <v>24</v>
      </c>
      <c r="D473" s="9" t="s">
        <v>25</v>
      </c>
      <c r="E473" t="s">
        <v>26</v>
      </c>
      <c r="F473" s="2">
        <v>46144</v>
      </c>
      <c r="G473" s="3">
        <v>13</v>
      </c>
      <c r="H473" s="2">
        <v>46172</v>
      </c>
      <c r="I473" s="4">
        <v>46177</v>
      </c>
      <c r="J473" s="3">
        <f>COUNTIFS('OOS Events'!$C:$C,B473,'OOS Events'!$D:$D,C473,'OOS Events'!$E:$E,"&gt;="&amp;D473-90,'OOS Events'!$E:$E,"&lt;"&amp;D473)</f>
        <v>0</v>
      </c>
      <c r="K473" s="3">
        <f>COUNTIF('OOS Events'!$B:$B,A473)</f>
        <v>0</v>
      </c>
      <c r="L473" s="3">
        <v>1</v>
      </c>
      <c r="M473" s="3">
        <v>30</v>
      </c>
      <c r="N473" t="s">
        <v>47</v>
      </c>
    </row>
    <row r="474" spans="1:14" ht="15" customHeight="1">
      <c r="A474" t="s">
        <v>549</v>
      </c>
      <c r="B474" t="s">
        <v>29</v>
      </c>
      <c r="C474" s="8" t="s">
        <v>24</v>
      </c>
      <c r="D474" s="9" t="s">
        <v>25</v>
      </c>
      <c r="E474" t="s">
        <v>30</v>
      </c>
      <c r="F474" s="2">
        <v>46146</v>
      </c>
      <c r="G474" s="3">
        <v>14</v>
      </c>
      <c r="H474" s="2">
        <v>46169</v>
      </c>
      <c r="I474" s="2">
        <v>46169</v>
      </c>
      <c r="J474" s="3">
        <f>COUNTIFS('OOS Events'!$C:$C,B474,'OOS Events'!$D:$D,C474,'OOS Events'!$E:$E,"&gt;="&amp;D474-90,'OOS Events'!$E:$E,"&lt;"&amp;D474)</f>
        <v>0</v>
      </c>
      <c r="K474" s="3">
        <f>COUNTIF('OOS Events'!$B:$B,A474)</f>
        <v>1</v>
      </c>
      <c r="L474" s="3">
        <v>0</v>
      </c>
      <c r="M474" s="3">
        <v>26</v>
      </c>
      <c r="N474" t="s">
        <v>44</v>
      </c>
    </row>
    <row r="475" spans="1:14" ht="15" customHeight="1">
      <c r="A475" t="s">
        <v>550</v>
      </c>
      <c r="B475" t="s">
        <v>37</v>
      </c>
      <c r="C475" s="8" t="s">
        <v>38</v>
      </c>
      <c r="D475" s="9" t="s">
        <v>39</v>
      </c>
      <c r="E475" t="s">
        <v>26</v>
      </c>
      <c r="F475" s="2">
        <v>46147</v>
      </c>
      <c r="G475" s="3">
        <v>16</v>
      </c>
      <c r="H475" s="2">
        <v>46167</v>
      </c>
      <c r="I475" s="4">
        <v>46172</v>
      </c>
      <c r="J475" s="3">
        <f>COUNTIFS('OOS Events'!$C:$C,B475,'OOS Events'!$D:$D,C475,'OOS Events'!$E:$E,"&gt;="&amp;D475-90,'OOS Events'!$E:$E,"&lt;"&amp;D475)</f>
        <v>0</v>
      </c>
      <c r="K475" s="3">
        <f>COUNTIF('OOS Events'!$B:$B,A475)</f>
        <v>0</v>
      </c>
      <c r="L475" s="3">
        <v>1</v>
      </c>
      <c r="M475" s="3">
        <v>20</v>
      </c>
      <c r="N475" t="s">
        <v>21</v>
      </c>
    </row>
    <row r="476" spans="1:14" ht="15" customHeight="1">
      <c r="A476" t="s">
        <v>551</v>
      </c>
      <c r="B476" t="s">
        <v>42</v>
      </c>
      <c r="C476" s="8" t="s">
        <v>24</v>
      </c>
      <c r="D476" s="9" t="s">
        <v>25</v>
      </c>
      <c r="E476" t="s">
        <v>43</v>
      </c>
      <c r="F476" s="2">
        <v>46148</v>
      </c>
      <c r="G476" s="3">
        <v>19</v>
      </c>
      <c r="H476" s="2">
        <v>46177</v>
      </c>
      <c r="I476" s="4">
        <v>46182</v>
      </c>
      <c r="J476" s="3">
        <f>COUNTIFS('OOS Events'!$C:$C,B476,'OOS Events'!$D:$D,C476,'OOS Events'!$E:$E,"&gt;="&amp;D476-90,'OOS Events'!$E:$E,"&lt;"&amp;D476)</f>
        <v>0</v>
      </c>
      <c r="K476" s="3">
        <f>COUNTIF('OOS Events'!$B:$B,A476)</f>
        <v>0</v>
      </c>
      <c r="L476" s="3">
        <v>0</v>
      </c>
      <c r="M476" s="3">
        <v>41</v>
      </c>
      <c r="N476" t="s">
        <v>35</v>
      </c>
    </row>
    <row r="477" spans="1:14" ht="15" customHeight="1">
      <c r="A477" t="s">
        <v>552</v>
      </c>
      <c r="B477" t="s">
        <v>51</v>
      </c>
      <c r="C477" s="8" t="s">
        <v>38</v>
      </c>
      <c r="D477" s="9" t="s">
        <v>39</v>
      </c>
      <c r="E477" t="s">
        <v>43</v>
      </c>
      <c r="F477" s="2">
        <v>46151</v>
      </c>
      <c r="G477" s="3">
        <v>20</v>
      </c>
      <c r="H477" s="2">
        <v>46176</v>
      </c>
      <c r="I477" s="2">
        <v>46176</v>
      </c>
      <c r="J477" s="3">
        <f>COUNTIFS('OOS Events'!$C:$C,B477,'OOS Events'!$D:$D,C477,'OOS Events'!$E:$E,"&gt;="&amp;D477-90,'OOS Events'!$E:$E,"&lt;"&amp;D477)</f>
        <v>0</v>
      </c>
      <c r="K477" s="3">
        <f>COUNTIF('OOS Events'!$B:$B,A477)</f>
        <v>0</v>
      </c>
      <c r="L477" s="3">
        <v>0</v>
      </c>
      <c r="M477" s="3">
        <v>30</v>
      </c>
      <c r="N477" t="s">
        <v>47</v>
      </c>
    </row>
    <row r="478" spans="1:14" ht="15" customHeight="1">
      <c r="A478" t="s">
        <v>553</v>
      </c>
      <c r="B478" t="s">
        <v>53</v>
      </c>
      <c r="C478" s="8" t="s">
        <v>24</v>
      </c>
      <c r="D478" s="9" t="s">
        <v>25</v>
      </c>
      <c r="E478" t="s">
        <v>30</v>
      </c>
      <c r="F478" s="2">
        <v>46152</v>
      </c>
      <c r="G478" s="3">
        <v>21</v>
      </c>
      <c r="H478" s="2">
        <v>46172</v>
      </c>
      <c r="I478" s="2">
        <v>46172</v>
      </c>
      <c r="J478" s="3">
        <f>COUNTIFS('OOS Events'!$C:$C,B478,'OOS Events'!$D:$D,C478,'OOS Events'!$E:$E,"&gt;="&amp;D478-90,'OOS Events'!$E:$E,"&lt;"&amp;D478)</f>
        <v>0</v>
      </c>
      <c r="K478" s="3">
        <f>COUNTIF('OOS Events'!$B:$B,A478)</f>
        <v>1</v>
      </c>
      <c r="L478" s="3">
        <v>1</v>
      </c>
      <c r="M478" s="3">
        <v>12</v>
      </c>
      <c r="N478" t="s">
        <v>21</v>
      </c>
    </row>
    <row r="479" spans="1:14" ht="15" customHeight="1">
      <c r="A479" t="s">
        <v>554</v>
      </c>
      <c r="B479" t="s">
        <v>163</v>
      </c>
      <c r="C479" s="8" t="s">
        <v>71</v>
      </c>
      <c r="D479" s="9" t="s">
        <v>72</v>
      </c>
      <c r="E479" t="s">
        <v>26</v>
      </c>
      <c r="F479" s="2">
        <v>46153</v>
      </c>
      <c r="G479" s="3">
        <v>25</v>
      </c>
      <c r="H479" s="2">
        <v>46179</v>
      </c>
      <c r="I479" s="4">
        <v>46180</v>
      </c>
      <c r="J479" s="3">
        <f>COUNTIFS('OOS Events'!$C:$C,B479,'OOS Events'!$D:$D,C479,'OOS Events'!$E:$E,"&gt;="&amp;D479-90,'OOS Events'!$E:$E,"&lt;"&amp;D479)</f>
        <v>0</v>
      </c>
      <c r="K479" s="3">
        <f>COUNTIF('OOS Events'!$B:$B,A479)</f>
        <v>0</v>
      </c>
      <c r="L479" s="3">
        <v>0</v>
      </c>
      <c r="M479" s="3">
        <v>24</v>
      </c>
      <c r="N479" t="s">
        <v>40</v>
      </c>
    </row>
    <row r="480" spans="1:14" ht="15" customHeight="1">
      <c r="A480" t="s">
        <v>555</v>
      </c>
      <c r="B480" t="s">
        <v>59</v>
      </c>
      <c r="C480" s="8" t="s">
        <v>24</v>
      </c>
      <c r="D480" s="9" t="s">
        <v>25</v>
      </c>
      <c r="E480" t="s">
        <v>60</v>
      </c>
      <c r="F480" s="2">
        <v>46155</v>
      </c>
      <c r="G480" s="3">
        <v>16</v>
      </c>
      <c r="H480" s="2">
        <v>46190</v>
      </c>
      <c r="I480" s="2">
        <v>46189</v>
      </c>
      <c r="J480" s="3">
        <f>COUNTIFS('OOS Events'!$C:$C,B480,'OOS Events'!$D:$D,C480,'OOS Events'!$E:$E,"&gt;="&amp;D480-90,'OOS Events'!$E:$E,"&lt;"&amp;D480)</f>
        <v>0</v>
      </c>
      <c r="K480" s="3">
        <f>COUNTIF('OOS Events'!$B:$B,A480)</f>
        <v>1</v>
      </c>
      <c r="L480" s="3">
        <v>1</v>
      </c>
      <c r="M480" s="3">
        <v>31</v>
      </c>
      <c r="N480" t="s">
        <v>35</v>
      </c>
    </row>
    <row r="481" spans="1:14" ht="15" customHeight="1">
      <c r="A481" t="s">
        <v>556</v>
      </c>
      <c r="B481" t="s">
        <v>62</v>
      </c>
      <c r="C481" s="8" t="s">
        <v>33</v>
      </c>
      <c r="D481" s="9" t="s">
        <v>19</v>
      </c>
      <c r="E481" t="s">
        <v>34</v>
      </c>
      <c r="F481" s="2">
        <v>46156</v>
      </c>
      <c r="G481" s="3">
        <v>8</v>
      </c>
      <c r="H481" s="2">
        <v>46188</v>
      </c>
      <c r="I481" s="4">
        <v>46193</v>
      </c>
      <c r="J481" s="3">
        <f>COUNTIFS('OOS Events'!$C:$C,B481,'OOS Events'!$D:$D,C481,'OOS Events'!$E:$E,"&gt;="&amp;D481-90,'OOS Events'!$E:$E,"&lt;"&amp;D481)</f>
        <v>0</v>
      </c>
      <c r="K481" s="3">
        <f>COUNTIF('OOS Events'!$B:$B,A481)</f>
        <v>0</v>
      </c>
      <c r="L481" s="3">
        <v>1</v>
      </c>
      <c r="M481" s="3">
        <v>13</v>
      </c>
      <c r="N481" t="s">
        <v>47</v>
      </c>
    </row>
    <row r="482" spans="1:14" ht="15" customHeight="1">
      <c r="A482" t="s">
        <v>557</v>
      </c>
      <c r="B482" t="s">
        <v>196</v>
      </c>
      <c r="C482" s="8" t="s">
        <v>71</v>
      </c>
      <c r="D482" s="9" t="s">
        <v>72</v>
      </c>
      <c r="E482" t="s">
        <v>43</v>
      </c>
      <c r="F482" s="2">
        <v>46157</v>
      </c>
      <c r="G482" s="3">
        <v>23</v>
      </c>
      <c r="H482" s="2">
        <v>46197</v>
      </c>
      <c r="I482" s="2">
        <v>46197</v>
      </c>
      <c r="J482" s="3">
        <f>COUNTIFS('OOS Events'!$C:$C,B482,'OOS Events'!$D:$D,C482,'OOS Events'!$E:$E,"&gt;="&amp;D482-90,'OOS Events'!$E:$E,"&lt;"&amp;D482)</f>
        <v>0</v>
      </c>
      <c r="K482" s="3">
        <f>COUNTIF('OOS Events'!$B:$B,A482)</f>
        <v>0</v>
      </c>
      <c r="L482" s="3">
        <v>0</v>
      </c>
      <c r="M482" s="3">
        <v>32</v>
      </c>
      <c r="N482" t="s">
        <v>27</v>
      </c>
    </row>
    <row r="483" spans="1:14" ht="15" customHeight="1">
      <c r="A483" t="s">
        <v>558</v>
      </c>
      <c r="B483" t="s">
        <v>66</v>
      </c>
      <c r="C483" s="8" t="s">
        <v>24</v>
      </c>
      <c r="D483" s="9" t="s">
        <v>25</v>
      </c>
      <c r="E483" t="s">
        <v>34</v>
      </c>
      <c r="F483" s="2">
        <v>46159</v>
      </c>
      <c r="G483" s="3">
        <v>9</v>
      </c>
      <c r="H483" s="2">
        <v>46172</v>
      </c>
      <c r="I483" s="4">
        <v>46173</v>
      </c>
      <c r="J483" s="3">
        <f>COUNTIFS('OOS Events'!$C:$C,B483,'OOS Events'!$D:$D,C483,'OOS Events'!$E:$E,"&gt;="&amp;D483-90,'OOS Events'!$E:$E,"&lt;"&amp;D483)</f>
        <v>0</v>
      </c>
      <c r="K483" s="3">
        <f>COUNTIF('OOS Events'!$B:$B,A483)</f>
        <v>0</v>
      </c>
      <c r="L483" s="3">
        <v>2</v>
      </c>
      <c r="M483" s="3">
        <v>27</v>
      </c>
      <c r="N483" t="s">
        <v>21</v>
      </c>
    </row>
    <row r="484" spans="1:14" ht="15" customHeight="1">
      <c r="A484" t="s">
        <v>559</v>
      </c>
      <c r="B484" t="s">
        <v>68</v>
      </c>
      <c r="C484" s="8" t="s">
        <v>24</v>
      </c>
      <c r="D484" s="9" t="s">
        <v>25</v>
      </c>
      <c r="E484" t="s">
        <v>30</v>
      </c>
      <c r="F484" s="2">
        <v>46160</v>
      </c>
      <c r="G484" s="3">
        <v>16</v>
      </c>
      <c r="H484" s="2">
        <v>46195</v>
      </c>
      <c r="I484" s="4">
        <v>46198</v>
      </c>
      <c r="J484" s="3">
        <f>COUNTIFS('OOS Events'!$C:$C,B484,'OOS Events'!$D:$D,C484,'OOS Events'!$E:$E,"&gt;="&amp;D484-90,'OOS Events'!$E:$E,"&lt;"&amp;D484)</f>
        <v>0</v>
      </c>
      <c r="K484" s="3">
        <f>COUNTIF('OOS Events'!$B:$B,A484)</f>
        <v>0</v>
      </c>
      <c r="L484" s="3">
        <v>1</v>
      </c>
      <c r="M484" s="3">
        <v>45</v>
      </c>
      <c r="N484" t="s">
        <v>35</v>
      </c>
    </row>
    <row r="485" spans="1:14" ht="15" customHeight="1">
      <c r="A485" t="s">
        <v>560</v>
      </c>
      <c r="B485" t="s">
        <v>229</v>
      </c>
      <c r="C485" s="8" t="s">
        <v>33</v>
      </c>
      <c r="D485" s="9" t="s">
        <v>19</v>
      </c>
      <c r="E485" t="s">
        <v>60</v>
      </c>
      <c r="F485" s="2">
        <v>46161</v>
      </c>
      <c r="G485" s="3">
        <v>16</v>
      </c>
      <c r="H485" s="2">
        <v>46189</v>
      </c>
      <c r="I485" s="2">
        <v>46189</v>
      </c>
      <c r="J485" s="3">
        <f>COUNTIFS('OOS Events'!$C:$C,B485,'OOS Events'!$D:$D,C485,'OOS Events'!$E:$E,"&gt;="&amp;D485-90,'OOS Events'!$E:$E,"&lt;"&amp;D485)</f>
        <v>0</v>
      </c>
      <c r="K485" s="3">
        <f>COUNTIF('OOS Events'!$B:$B,A485)</f>
        <v>0</v>
      </c>
      <c r="L485" s="3">
        <v>1</v>
      </c>
      <c r="M485" s="3">
        <v>12</v>
      </c>
      <c r="N485" t="s">
        <v>44</v>
      </c>
    </row>
    <row r="486" spans="1:14" ht="15" customHeight="1">
      <c r="A486" t="s">
        <v>561</v>
      </c>
      <c r="B486" t="s">
        <v>74</v>
      </c>
      <c r="C486" s="8" t="s">
        <v>75</v>
      </c>
      <c r="D486" s="9" t="s">
        <v>72</v>
      </c>
      <c r="E486" t="s">
        <v>26</v>
      </c>
      <c r="F486" s="2">
        <v>46163</v>
      </c>
      <c r="G486" s="3">
        <v>22</v>
      </c>
      <c r="H486" s="2">
        <v>46196</v>
      </c>
      <c r="I486" s="4">
        <v>46199</v>
      </c>
      <c r="J486" s="3">
        <f>COUNTIFS('OOS Events'!$C:$C,B486,'OOS Events'!$D:$D,C486,'OOS Events'!$E:$E,"&gt;="&amp;D486-90,'OOS Events'!$E:$E,"&lt;"&amp;D486)</f>
        <v>0</v>
      </c>
      <c r="K486" s="3">
        <f>COUNTIF('OOS Events'!$B:$B,A486)</f>
        <v>0</v>
      </c>
      <c r="L486" s="3">
        <v>1</v>
      </c>
      <c r="M486" s="3">
        <v>10</v>
      </c>
      <c r="N486" t="s">
        <v>47</v>
      </c>
    </row>
    <row r="487" spans="1:14" ht="15" customHeight="1">
      <c r="A487" t="s">
        <v>562</v>
      </c>
      <c r="B487" t="s">
        <v>77</v>
      </c>
      <c r="C487" s="8" t="s">
        <v>33</v>
      </c>
      <c r="D487" s="9" t="s">
        <v>19</v>
      </c>
      <c r="E487" t="s">
        <v>20</v>
      </c>
      <c r="F487" s="2">
        <v>46164</v>
      </c>
      <c r="G487" s="3">
        <v>13</v>
      </c>
      <c r="H487" s="2">
        <v>46179</v>
      </c>
      <c r="I487" s="2">
        <v>46178</v>
      </c>
      <c r="J487" s="3">
        <f>COUNTIFS('OOS Events'!$C:$C,B487,'OOS Events'!$D:$D,C487,'OOS Events'!$E:$E,"&gt;="&amp;D487-90,'OOS Events'!$E:$E,"&lt;"&amp;D487)</f>
        <v>0</v>
      </c>
      <c r="K487" s="3">
        <f>COUNTIF('OOS Events'!$B:$B,A487)</f>
        <v>0</v>
      </c>
      <c r="L487" s="3">
        <v>2</v>
      </c>
      <c r="M487" s="3">
        <v>23</v>
      </c>
      <c r="N487" t="s">
        <v>21</v>
      </c>
    </row>
    <row r="488" spans="1:14" ht="15" customHeight="1">
      <c r="A488" t="s">
        <v>563</v>
      </c>
      <c r="B488" t="s">
        <v>174</v>
      </c>
      <c r="C488" s="8" t="s">
        <v>71</v>
      </c>
      <c r="D488" s="9" t="s">
        <v>72</v>
      </c>
      <c r="E488" t="s">
        <v>60</v>
      </c>
      <c r="F488" s="2">
        <v>46164</v>
      </c>
      <c r="G488" s="3">
        <v>27</v>
      </c>
      <c r="H488" s="2">
        <v>46201</v>
      </c>
      <c r="I488" s="2">
        <v>46198</v>
      </c>
      <c r="J488" s="3">
        <f>COUNTIFS('OOS Events'!$C:$C,B488,'OOS Events'!$D:$D,C488,'OOS Events'!$E:$E,"&gt;="&amp;D488-90,'OOS Events'!$E:$E,"&lt;"&amp;D488)</f>
        <v>0</v>
      </c>
      <c r="K488" s="3">
        <f>COUNTIF('OOS Events'!$B:$B,A488)</f>
        <v>0</v>
      </c>
      <c r="L488" s="3">
        <v>1</v>
      </c>
      <c r="M488" s="3">
        <v>43</v>
      </c>
      <c r="N488" t="s">
        <v>27</v>
      </c>
    </row>
    <row r="489" spans="1:14" ht="15" customHeight="1">
      <c r="A489" t="s">
        <v>564</v>
      </c>
      <c r="B489" t="s">
        <v>263</v>
      </c>
      <c r="C489" s="8" t="s">
        <v>33</v>
      </c>
      <c r="D489" s="9" t="s">
        <v>19</v>
      </c>
      <c r="E489" t="s">
        <v>34</v>
      </c>
      <c r="F489" s="2">
        <v>46165</v>
      </c>
      <c r="G489" s="3">
        <v>17</v>
      </c>
      <c r="H489" s="2">
        <v>46187</v>
      </c>
      <c r="I489" s="4">
        <v>46188</v>
      </c>
      <c r="J489" s="3">
        <f>COUNTIFS('OOS Events'!$C:$C,B489,'OOS Events'!$D:$D,C489,'OOS Events'!$E:$E,"&gt;="&amp;D489-90,'OOS Events'!$E:$E,"&lt;"&amp;D489)</f>
        <v>0</v>
      </c>
      <c r="K489" s="3">
        <f>COUNTIF('OOS Events'!$B:$B,A489)</f>
        <v>0</v>
      </c>
      <c r="L489" s="3">
        <v>2</v>
      </c>
      <c r="M489" s="3">
        <v>21</v>
      </c>
      <c r="N489" t="s">
        <v>40</v>
      </c>
    </row>
    <row r="490" spans="1:14" ht="15" customHeight="1">
      <c r="A490" t="s">
        <v>565</v>
      </c>
      <c r="B490" t="s">
        <v>79</v>
      </c>
      <c r="C490" s="8" t="s">
        <v>33</v>
      </c>
      <c r="D490" s="9" t="s">
        <v>19</v>
      </c>
      <c r="E490" t="s">
        <v>20</v>
      </c>
      <c r="F490" s="2">
        <v>46167</v>
      </c>
      <c r="G490" s="3">
        <v>11</v>
      </c>
      <c r="H490" s="2">
        <v>46201</v>
      </c>
      <c r="I490" s="4">
        <v>46204</v>
      </c>
      <c r="J490" s="3">
        <f>COUNTIFS('OOS Events'!$C:$C,B490,'OOS Events'!$D:$D,C490,'OOS Events'!$E:$E,"&gt;="&amp;D490-90,'OOS Events'!$E:$E,"&lt;"&amp;D490)</f>
        <v>0</v>
      </c>
      <c r="K490" s="3">
        <f>COUNTIF('OOS Events'!$B:$B,A490)</f>
        <v>0</v>
      </c>
      <c r="L490" s="3">
        <v>1</v>
      </c>
      <c r="M490" s="3">
        <v>40</v>
      </c>
      <c r="N490" t="s">
        <v>35</v>
      </c>
    </row>
    <row r="491" spans="1:14" ht="15" customHeight="1">
      <c r="A491" t="s">
        <v>566</v>
      </c>
      <c r="B491" t="s">
        <v>81</v>
      </c>
      <c r="C491" s="8" t="s">
        <v>71</v>
      </c>
      <c r="D491" s="9" t="s">
        <v>72</v>
      </c>
      <c r="E491" t="s">
        <v>26</v>
      </c>
      <c r="F491" s="2">
        <v>46168</v>
      </c>
      <c r="G491" s="3">
        <v>19</v>
      </c>
      <c r="H491" s="2">
        <v>46201</v>
      </c>
      <c r="I491" s="4">
        <v>46203</v>
      </c>
      <c r="J491" s="3">
        <f>COUNTIFS('OOS Events'!$C:$C,B491,'OOS Events'!$D:$D,C491,'OOS Events'!$E:$E,"&gt;="&amp;D491-90,'OOS Events'!$E:$E,"&lt;"&amp;D491)</f>
        <v>0</v>
      </c>
      <c r="K491" s="3">
        <f>COUNTIF('OOS Events'!$B:$B,A491)</f>
        <v>0</v>
      </c>
      <c r="L491" s="3">
        <v>0</v>
      </c>
      <c r="M491" s="3">
        <v>18</v>
      </c>
      <c r="N491" t="s">
        <v>47</v>
      </c>
    </row>
    <row r="492" spans="1:14" ht="15" customHeight="1">
      <c r="A492" t="s">
        <v>567</v>
      </c>
      <c r="B492" t="s">
        <v>206</v>
      </c>
      <c r="C492" s="8" t="s">
        <v>71</v>
      </c>
      <c r="D492" s="9" t="s">
        <v>72</v>
      </c>
      <c r="E492" t="s">
        <v>34</v>
      </c>
      <c r="F492" s="2">
        <v>46168</v>
      </c>
      <c r="G492" s="3">
        <v>12</v>
      </c>
      <c r="H492" s="2">
        <v>46190</v>
      </c>
      <c r="I492" s="2">
        <v>46187</v>
      </c>
      <c r="J492" s="3">
        <f>COUNTIFS('OOS Events'!$C:$C,B492,'OOS Events'!$D:$D,C492,'OOS Events'!$E:$E,"&gt;="&amp;D492-90,'OOS Events'!$E:$E,"&lt;"&amp;D492)</f>
        <v>0</v>
      </c>
      <c r="K492" s="3">
        <f>COUNTIF('OOS Events'!$B:$B,A492)</f>
        <v>1</v>
      </c>
      <c r="L492" s="3">
        <v>1</v>
      </c>
      <c r="M492" s="3">
        <v>8</v>
      </c>
      <c r="N492" t="s">
        <v>44</v>
      </c>
    </row>
    <row r="493" spans="1:14" ht="15" customHeight="1">
      <c r="A493" t="s">
        <v>568</v>
      </c>
      <c r="B493" t="s">
        <v>295</v>
      </c>
      <c r="C493" s="8" t="s">
        <v>33</v>
      </c>
      <c r="D493" s="9" t="s">
        <v>19</v>
      </c>
      <c r="E493" t="s">
        <v>26</v>
      </c>
      <c r="F493" s="2">
        <v>46169</v>
      </c>
      <c r="G493" s="3">
        <v>17</v>
      </c>
      <c r="H493" s="2">
        <v>46211</v>
      </c>
      <c r="I493" s="2">
        <v>46211</v>
      </c>
      <c r="J493" s="3">
        <f>COUNTIFS('OOS Events'!$C:$C,B493,'OOS Events'!$D:$D,C493,'OOS Events'!$E:$E,"&gt;="&amp;D493-90,'OOS Events'!$E:$E,"&lt;"&amp;D493)</f>
        <v>0</v>
      </c>
      <c r="K493" s="3">
        <f>COUNTIF('OOS Events'!$B:$B,A493)</f>
        <v>0</v>
      </c>
      <c r="L493" s="3">
        <v>0</v>
      </c>
      <c r="M493" s="3">
        <v>23</v>
      </c>
      <c r="N493" t="s">
        <v>27</v>
      </c>
    </row>
    <row r="494" spans="1:14" ht="15" customHeight="1">
      <c r="A494" t="s">
        <v>569</v>
      </c>
      <c r="B494" t="s">
        <v>83</v>
      </c>
      <c r="C494" s="8" t="s">
        <v>33</v>
      </c>
      <c r="D494" s="9" t="s">
        <v>19</v>
      </c>
      <c r="E494" t="s">
        <v>26</v>
      </c>
      <c r="F494" s="2">
        <v>46171</v>
      </c>
      <c r="G494" s="3">
        <v>26</v>
      </c>
      <c r="H494" s="2">
        <v>46184</v>
      </c>
      <c r="I494" s="4">
        <v>46192</v>
      </c>
      <c r="J494" s="3">
        <f>COUNTIFS('OOS Events'!$C:$C,B494,'OOS Events'!$D:$D,C494,'OOS Events'!$E:$E,"&gt;="&amp;D494-90,'OOS Events'!$E:$E,"&lt;"&amp;D494)</f>
        <v>0</v>
      </c>
      <c r="K494" s="3">
        <f>COUNTIF('OOS Events'!$B:$B,A494)</f>
        <v>0</v>
      </c>
      <c r="L494" s="3">
        <v>2</v>
      </c>
      <c r="M494" s="3">
        <v>14</v>
      </c>
      <c r="N494" t="s">
        <v>21</v>
      </c>
    </row>
    <row r="495" spans="1:14" ht="15" customHeight="1">
      <c r="A495" t="s">
        <v>570</v>
      </c>
      <c r="B495" t="s">
        <v>85</v>
      </c>
      <c r="C495" s="8" t="s">
        <v>71</v>
      </c>
      <c r="D495" s="9" t="s">
        <v>72</v>
      </c>
      <c r="E495" t="s">
        <v>34</v>
      </c>
      <c r="F495" s="2">
        <v>46172</v>
      </c>
      <c r="G495" s="3">
        <v>18</v>
      </c>
      <c r="H495" s="2">
        <v>46206</v>
      </c>
      <c r="I495" s="2">
        <v>46204</v>
      </c>
      <c r="J495" s="3">
        <f>COUNTIFS('OOS Events'!$C:$C,B495,'OOS Events'!$D:$D,C495,'OOS Events'!$E:$E,"&gt;="&amp;D495-90,'OOS Events'!$E:$E,"&lt;"&amp;D495)</f>
        <v>0</v>
      </c>
      <c r="K495" s="3">
        <f>COUNTIF('OOS Events'!$B:$B,A495)</f>
        <v>0</v>
      </c>
      <c r="L495" s="3">
        <v>2</v>
      </c>
      <c r="M495" s="3">
        <v>30</v>
      </c>
      <c r="N495" t="s">
        <v>35</v>
      </c>
    </row>
    <row r="496" spans="1:14" ht="15" customHeight="1">
      <c r="A496" t="s">
        <v>571</v>
      </c>
      <c r="B496" t="s">
        <v>238</v>
      </c>
      <c r="C496" s="8" t="s">
        <v>239</v>
      </c>
      <c r="D496" s="9" t="s">
        <v>240</v>
      </c>
      <c r="E496" t="s">
        <v>30</v>
      </c>
      <c r="F496" s="2">
        <v>46172</v>
      </c>
      <c r="G496" s="3">
        <v>13</v>
      </c>
      <c r="H496" s="2">
        <v>46198</v>
      </c>
      <c r="I496" s="4">
        <v>46199</v>
      </c>
      <c r="J496" s="3">
        <f>COUNTIFS('OOS Events'!$C:$C,B496,'OOS Events'!$D:$D,C496,'OOS Events'!$E:$E,"&gt;="&amp;D496-90,'OOS Events'!$E:$E,"&lt;"&amp;D496)</f>
        <v>0</v>
      </c>
      <c r="K496" s="3">
        <f>COUNTIF('OOS Events'!$B:$B,A496)</f>
        <v>1</v>
      </c>
      <c r="L496" s="3">
        <v>0</v>
      </c>
      <c r="M496" s="3">
        <v>36</v>
      </c>
      <c r="N496" t="s">
        <v>40</v>
      </c>
    </row>
    <row r="497" spans="1:14" ht="15" customHeight="1">
      <c r="A497" t="s">
        <v>572</v>
      </c>
      <c r="B497" t="s">
        <v>87</v>
      </c>
      <c r="C497" s="8" t="s">
        <v>71</v>
      </c>
      <c r="D497" s="9" t="s">
        <v>72</v>
      </c>
      <c r="E497" t="s">
        <v>20</v>
      </c>
      <c r="F497" s="2">
        <v>46173</v>
      </c>
      <c r="G497" s="3">
        <v>13</v>
      </c>
      <c r="H497" s="2">
        <v>46197</v>
      </c>
      <c r="I497" s="4">
        <v>46198</v>
      </c>
      <c r="J497" s="3">
        <f>COUNTIFS('OOS Events'!$C:$C,B497,'OOS Events'!$D:$D,C497,'OOS Events'!$E:$E,"&gt;="&amp;D497-90,'OOS Events'!$E:$E,"&lt;"&amp;D497)</f>
        <v>0</v>
      </c>
      <c r="K497" s="3">
        <f>COUNTIF('OOS Events'!$B:$B,A497)</f>
        <v>0</v>
      </c>
      <c r="L497" s="3">
        <v>1</v>
      </c>
      <c r="M497" s="3">
        <v>24</v>
      </c>
      <c r="N497" t="s">
        <v>44</v>
      </c>
    </row>
    <row r="498" spans="1:14" ht="15" customHeight="1">
      <c r="A498" t="s">
        <v>573</v>
      </c>
      <c r="B498" t="s">
        <v>89</v>
      </c>
      <c r="C498" s="8" t="s">
        <v>24</v>
      </c>
      <c r="D498" s="9" t="s">
        <v>25</v>
      </c>
      <c r="E498" t="s">
        <v>43</v>
      </c>
      <c r="F498" s="2">
        <v>46175</v>
      </c>
      <c r="G498" s="3">
        <v>17</v>
      </c>
      <c r="H498" s="2">
        <v>46201</v>
      </c>
      <c r="I498" s="4">
        <v>46204</v>
      </c>
      <c r="J498" s="3">
        <f>COUNTIFS('OOS Events'!$C:$C,B498,'OOS Events'!$D:$D,C498,'OOS Events'!$E:$E,"&gt;="&amp;D498-90,'OOS Events'!$E:$E,"&lt;"&amp;D498)</f>
        <v>0</v>
      </c>
      <c r="K498" s="3">
        <f>COUNTIF('OOS Events'!$B:$B,A498)</f>
        <v>1</v>
      </c>
      <c r="L498" s="3">
        <v>1</v>
      </c>
      <c r="M498" s="3">
        <v>23</v>
      </c>
      <c r="N498" t="s">
        <v>47</v>
      </c>
    </row>
    <row r="499" spans="1:14" ht="15" customHeight="1">
      <c r="A499" t="s">
        <v>574</v>
      </c>
      <c r="B499" t="s">
        <v>273</v>
      </c>
      <c r="C499" s="8" t="s">
        <v>24</v>
      </c>
      <c r="D499" s="9" t="s">
        <v>25</v>
      </c>
      <c r="E499" t="s">
        <v>20</v>
      </c>
      <c r="F499" s="2">
        <v>46176</v>
      </c>
      <c r="G499" s="3">
        <v>21</v>
      </c>
      <c r="H499" s="2">
        <v>46211</v>
      </c>
      <c r="I499" s="4">
        <v>46213</v>
      </c>
      <c r="J499" s="3">
        <f>COUNTIFS('OOS Events'!$C:$C,B499,'OOS Events'!$D:$D,C499,'OOS Events'!$E:$E,"&gt;="&amp;D499-90,'OOS Events'!$E:$E,"&lt;"&amp;D499)</f>
        <v>0</v>
      </c>
      <c r="K499" s="3">
        <f>COUNTIF('OOS Events'!$B:$B,A499)</f>
        <v>0</v>
      </c>
      <c r="L499" s="3">
        <v>1</v>
      </c>
      <c r="M499" s="3">
        <v>26</v>
      </c>
      <c r="N499" t="s">
        <v>27</v>
      </c>
    </row>
    <row r="500" spans="1:14" ht="15" customHeight="1">
      <c r="A500" t="s">
        <v>575</v>
      </c>
      <c r="B500" t="s">
        <v>23</v>
      </c>
      <c r="C500" s="8" t="s">
        <v>24</v>
      </c>
      <c r="D500" s="9" t="s">
        <v>25</v>
      </c>
      <c r="E500" t="s">
        <v>26</v>
      </c>
      <c r="F500" s="2">
        <v>46177</v>
      </c>
      <c r="G500" s="3">
        <v>27</v>
      </c>
      <c r="H500" s="2">
        <v>46198</v>
      </c>
      <c r="I500" s="4">
        <v>46200</v>
      </c>
      <c r="J500" s="3">
        <f>COUNTIFS('OOS Events'!$C:$C,B500,'OOS Events'!$D:$D,C500,'OOS Events'!$E:$E,"&gt;="&amp;D500-90,'OOS Events'!$E:$E,"&lt;"&amp;D500)</f>
        <v>0</v>
      </c>
      <c r="K500" s="3">
        <f>COUNTIF('OOS Events'!$B:$B,A500)</f>
        <v>0</v>
      </c>
      <c r="L500" s="3">
        <v>0</v>
      </c>
      <c r="M500" s="3">
        <v>17</v>
      </c>
      <c r="N500" t="s">
        <v>40</v>
      </c>
    </row>
    <row r="501" spans="1:14" ht="15" customHeight="1">
      <c r="A501" t="s">
        <v>576</v>
      </c>
      <c r="B501" t="s">
        <v>29</v>
      </c>
      <c r="C501" s="8" t="s">
        <v>24</v>
      </c>
      <c r="D501" s="9" t="s">
        <v>25</v>
      </c>
      <c r="E501" t="s">
        <v>60</v>
      </c>
      <c r="F501" s="2">
        <v>46179</v>
      </c>
      <c r="G501" s="3">
        <v>18</v>
      </c>
      <c r="H501" s="2">
        <v>46208</v>
      </c>
      <c r="I501" s="2">
        <v>46208</v>
      </c>
      <c r="J501" s="3">
        <f>COUNTIFS('OOS Events'!$C:$C,B501,'OOS Events'!$D:$D,C501,'OOS Events'!$E:$E,"&gt;="&amp;D501-90,'OOS Events'!$E:$E,"&lt;"&amp;D501)</f>
        <v>0</v>
      </c>
      <c r="K501" s="3">
        <f>COUNTIF('OOS Events'!$B:$B,A501)</f>
        <v>0</v>
      </c>
      <c r="L501" s="3">
        <v>1</v>
      </c>
      <c r="M501" s="3">
        <v>29</v>
      </c>
      <c r="N501" t="s">
        <v>35</v>
      </c>
    </row>
    <row r="502" spans="1:14" ht="15" customHeight="1">
      <c r="A502" t="s">
        <v>577</v>
      </c>
      <c r="B502" t="s">
        <v>37</v>
      </c>
      <c r="C502" s="8" t="s">
        <v>38</v>
      </c>
      <c r="D502" s="9" t="s">
        <v>39</v>
      </c>
      <c r="E502" t="s">
        <v>60</v>
      </c>
      <c r="F502" s="2">
        <v>46180</v>
      </c>
      <c r="G502" s="3">
        <v>20</v>
      </c>
      <c r="H502" s="2">
        <v>46208</v>
      </c>
      <c r="I502" s="2">
        <v>46208</v>
      </c>
      <c r="J502" s="3">
        <f>COUNTIFS('OOS Events'!$C:$C,B502,'OOS Events'!$D:$D,C502,'OOS Events'!$E:$E,"&gt;="&amp;D502-90,'OOS Events'!$E:$E,"&lt;"&amp;D502)</f>
        <v>0</v>
      </c>
      <c r="K502" s="3">
        <f>COUNTIF('OOS Events'!$B:$B,A502)</f>
        <v>0</v>
      </c>
      <c r="L502" s="3">
        <v>1</v>
      </c>
      <c r="M502" s="3">
        <v>23</v>
      </c>
      <c r="N502" t="s">
        <v>44</v>
      </c>
    </row>
    <row r="503" spans="1:14" ht="15" customHeight="1">
      <c r="A503" t="s">
        <v>578</v>
      </c>
      <c r="B503" t="s">
        <v>42</v>
      </c>
      <c r="C503" s="8" t="s">
        <v>24</v>
      </c>
      <c r="D503" s="9" t="s">
        <v>25</v>
      </c>
      <c r="E503" t="s">
        <v>43</v>
      </c>
      <c r="F503" s="2">
        <v>46181</v>
      </c>
      <c r="G503" s="3">
        <v>21</v>
      </c>
      <c r="H503" s="2">
        <v>46223</v>
      </c>
      <c r="I503" s="2">
        <v>46223</v>
      </c>
      <c r="J503" s="3">
        <f>COUNTIFS('OOS Events'!$C:$C,B503,'OOS Events'!$D:$D,C503,'OOS Events'!$E:$E,"&gt;="&amp;D503-90,'OOS Events'!$E:$E,"&lt;"&amp;D503)</f>
        <v>0</v>
      </c>
      <c r="K503" s="3">
        <f>COUNTIF('OOS Events'!$B:$B,A503)</f>
        <v>0</v>
      </c>
      <c r="L503" s="3">
        <v>0</v>
      </c>
      <c r="M503" s="3">
        <v>46</v>
      </c>
      <c r="N503" t="s">
        <v>27</v>
      </c>
    </row>
    <row r="504" spans="1:14" ht="15" customHeight="1">
      <c r="A504" t="s">
        <v>579</v>
      </c>
      <c r="B504" t="s">
        <v>46</v>
      </c>
      <c r="C504" s="8" t="s">
        <v>24</v>
      </c>
      <c r="D504" s="9" t="s">
        <v>25</v>
      </c>
      <c r="E504" t="s">
        <v>20</v>
      </c>
      <c r="F504" s="2">
        <v>46183</v>
      </c>
      <c r="G504" s="3">
        <v>18</v>
      </c>
      <c r="H504" s="2">
        <v>46195</v>
      </c>
      <c r="I504" s="4">
        <v>46197</v>
      </c>
      <c r="J504" s="3">
        <f>COUNTIFS('OOS Events'!$C:$C,B504,'OOS Events'!$D:$D,C504,'OOS Events'!$E:$E,"&gt;="&amp;D504-90,'OOS Events'!$E:$E,"&lt;"&amp;D504)</f>
        <v>0</v>
      </c>
      <c r="K504" s="3">
        <f>COUNTIF('OOS Events'!$B:$B,A504)</f>
        <v>0</v>
      </c>
      <c r="L504" s="3">
        <v>0</v>
      </c>
      <c r="M504" s="3">
        <v>19</v>
      </c>
      <c r="N504" t="s">
        <v>21</v>
      </c>
    </row>
    <row r="505" spans="1:14" ht="15" customHeight="1">
      <c r="A505" t="s">
        <v>580</v>
      </c>
      <c r="B505" t="s">
        <v>51</v>
      </c>
      <c r="C505" s="8" t="s">
        <v>38</v>
      </c>
      <c r="D505" s="9" t="s">
        <v>39</v>
      </c>
      <c r="E505" t="s">
        <v>43</v>
      </c>
      <c r="F505" s="2">
        <v>46184</v>
      </c>
      <c r="G505" s="3">
        <v>23</v>
      </c>
      <c r="H505" s="2">
        <v>46210</v>
      </c>
      <c r="I505" s="4">
        <v>46211</v>
      </c>
      <c r="J505" s="3">
        <f>COUNTIFS('OOS Events'!$C:$C,B505,'OOS Events'!$D:$D,C505,'OOS Events'!$E:$E,"&gt;="&amp;D505-90,'OOS Events'!$E:$E,"&lt;"&amp;D505)</f>
        <v>0</v>
      </c>
      <c r="K505" s="3">
        <f>COUNTIF('OOS Events'!$B:$B,A505)</f>
        <v>0</v>
      </c>
      <c r="L505" s="3">
        <v>1</v>
      </c>
      <c r="M505" s="3">
        <v>23</v>
      </c>
      <c r="N505" t="s">
        <v>40</v>
      </c>
    </row>
    <row r="506" spans="1:14" ht="15" customHeight="1">
      <c r="A506" t="s">
        <v>581</v>
      </c>
      <c r="B506" t="s">
        <v>53</v>
      </c>
      <c r="C506" s="8" t="s">
        <v>24</v>
      </c>
      <c r="D506" s="9" t="s">
        <v>25</v>
      </c>
      <c r="E506" t="s">
        <v>60</v>
      </c>
      <c r="F506" s="2">
        <v>46185</v>
      </c>
      <c r="G506" s="3">
        <v>27</v>
      </c>
      <c r="H506" s="2">
        <v>46207</v>
      </c>
      <c r="I506" s="4">
        <v>46215</v>
      </c>
      <c r="J506" s="3">
        <f>COUNTIFS('OOS Events'!$C:$C,B506,'OOS Events'!$D:$D,C506,'OOS Events'!$E:$E,"&gt;="&amp;D506-90,'OOS Events'!$E:$E,"&lt;"&amp;D506)</f>
        <v>0</v>
      </c>
      <c r="K506" s="3">
        <f>COUNTIF('OOS Events'!$B:$B,A506)</f>
        <v>0</v>
      </c>
      <c r="L506" s="3">
        <v>3</v>
      </c>
      <c r="M506" s="3">
        <v>29</v>
      </c>
      <c r="N506" t="s">
        <v>44</v>
      </c>
    </row>
    <row r="507" spans="1:14" ht="15" customHeight="1">
      <c r="A507" t="s">
        <v>582</v>
      </c>
      <c r="B507" t="s">
        <v>59</v>
      </c>
      <c r="C507" s="8" t="s">
        <v>24</v>
      </c>
      <c r="D507" s="9" t="s">
        <v>25</v>
      </c>
      <c r="E507" t="s">
        <v>60</v>
      </c>
      <c r="F507" s="2">
        <v>46188</v>
      </c>
      <c r="G507" s="3">
        <v>21</v>
      </c>
      <c r="H507" s="2">
        <v>46226</v>
      </c>
      <c r="I507" s="2">
        <v>46226</v>
      </c>
      <c r="J507" s="3">
        <f>COUNTIFS('OOS Events'!$C:$C,B507,'OOS Events'!$D:$D,C507,'OOS Events'!$E:$E,"&gt;="&amp;D507-90,'OOS Events'!$E:$E,"&lt;"&amp;D507)</f>
        <v>0</v>
      </c>
      <c r="K507" s="3">
        <f>COUNTIF('OOS Events'!$B:$B,A507)</f>
        <v>0</v>
      </c>
      <c r="L507" s="3">
        <v>2</v>
      </c>
      <c r="M507" s="3">
        <v>31</v>
      </c>
      <c r="N507" t="s">
        <v>27</v>
      </c>
    </row>
    <row r="508" spans="1:14" ht="15" customHeight="1">
      <c r="A508" t="s">
        <v>583</v>
      </c>
      <c r="B508" t="s">
        <v>62</v>
      </c>
      <c r="C508" s="8" t="s">
        <v>33</v>
      </c>
      <c r="D508" s="9" t="s">
        <v>19</v>
      </c>
      <c r="E508" t="s">
        <v>20</v>
      </c>
      <c r="F508" s="2">
        <v>46189</v>
      </c>
      <c r="G508" s="3">
        <v>23</v>
      </c>
      <c r="H508" s="2">
        <v>46208</v>
      </c>
      <c r="I508" s="4">
        <v>46210</v>
      </c>
      <c r="J508" s="3">
        <f>COUNTIFS('OOS Events'!$C:$C,B508,'OOS Events'!$D:$D,C508,'OOS Events'!$E:$E,"&gt;="&amp;D508-90,'OOS Events'!$E:$E,"&lt;"&amp;D508)</f>
        <v>0</v>
      </c>
      <c r="K508" s="3">
        <f>COUNTIF('OOS Events'!$B:$B,A508)</f>
        <v>0</v>
      </c>
      <c r="L508" s="3">
        <v>1</v>
      </c>
      <c r="M508" s="3">
        <v>9</v>
      </c>
      <c r="N508" t="s">
        <v>40</v>
      </c>
    </row>
    <row r="509" spans="1:14" ht="15" customHeight="1">
      <c r="A509" t="s">
        <v>584</v>
      </c>
      <c r="B509" t="s">
        <v>196</v>
      </c>
      <c r="C509" s="8" t="s">
        <v>71</v>
      </c>
      <c r="D509" s="9" t="s">
        <v>72</v>
      </c>
      <c r="E509" t="s">
        <v>43</v>
      </c>
      <c r="F509" s="2">
        <v>46190</v>
      </c>
      <c r="G509" s="3">
        <v>19</v>
      </c>
      <c r="H509" s="2">
        <v>46221</v>
      </c>
      <c r="I509" s="2">
        <v>46221</v>
      </c>
      <c r="J509" s="3">
        <f>COUNTIFS('OOS Events'!$C:$C,B509,'OOS Events'!$D:$D,C509,'OOS Events'!$E:$E,"&gt;="&amp;D509-90,'OOS Events'!$E:$E,"&lt;"&amp;D509)</f>
        <v>0</v>
      </c>
      <c r="K509" s="3">
        <f>COUNTIF('OOS Events'!$B:$B,A509)</f>
        <v>1</v>
      </c>
      <c r="L509" s="3">
        <v>2</v>
      </c>
      <c r="M509" s="3">
        <v>35</v>
      </c>
      <c r="N509" t="s">
        <v>47</v>
      </c>
    </row>
    <row r="510" spans="1:14" ht="15" customHeight="1">
      <c r="A510" t="s">
        <v>585</v>
      </c>
      <c r="B510" t="s">
        <v>66</v>
      </c>
      <c r="C510" s="8" t="s">
        <v>24</v>
      </c>
      <c r="D510" s="9" t="s">
        <v>25</v>
      </c>
      <c r="E510" t="s">
        <v>34</v>
      </c>
      <c r="F510" s="2">
        <v>46192</v>
      </c>
      <c r="G510" s="3">
        <v>6</v>
      </c>
      <c r="H510" s="2">
        <v>46214</v>
      </c>
      <c r="I510" s="2">
        <v>46214</v>
      </c>
      <c r="J510" s="3">
        <f>COUNTIFS('OOS Events'!$C:$C,B510,'OOS Events'!$D:$D,C510,'OOS Events'!$E:$E,"&gt;="&amp;D510-90,'OOS Events'!$E:$E,"&lt;"&amp;D510)</f>
        <v>0</v>
      </c>
      <c r="K510" s="3">
        <f>COUNTIF('OOS Events'!$B:$B,A510)</f>
        <v>0</v>
      </c>
      <c r="L510" s="3">
        <v>2</v>
      </c>
      <c r="M510" s="3">
        <v>11</v>
      </c>
      <c r="N510" t="s">
        <v>44</v>
      </c>
    </row>
    <row r="511" spans="1:14" ht="15" customHeight="1">
      <c r="A511" t="s">
        <v>586</v>
      </c>
      <c r="B511" t="s">
        <v>68</v>
      </c>
      <c r="C511" s="8" t="s">
        <v>24</v>
      </c>
      <c r="D511" s="9" t="s">
        <v>25</v>
      </c>
      <c r="E511" t="s">
        <v>30</v>
      </c>
      <c r="F511" s="2">
        <v>46193</v>
      </c>
      <c r="G511" s="3">
        <v>14</v>
      </c>
      <c r="H511" s="2">
        <v>46227</v>
      </c>
      <c r="I511" s="4">
        <v>46228</v>
      </c>
      <c r="J511" s="3">
        <f>COUNTIFS('OOS Events'!$C:$C,B511,'OOS Events'!$D:$D,C511,'OOS Events'!$E:$E,"&gt;="&amp;D511-90,'OOS Events'!$E:$E,"&lt;"&amp;D511)</f>
        <v>0</v>
      </c>
      <c r="K511" s="3">
        <f>COUNTIF('OOS Events'!$B:$B,A511)</f>
        <v>0</v>
      </c>
      <c r="L511" s="3">
        <v>2</v>
      </c>
      <c r="M511" s="3">
        <v>22</v>
      </c>
      <c r="N511" t="s">
        <v>27</v>
      </c>
    </row>
    <row r="512" spans="1:14" ht="15" customHeight="1">
      <c r="A512" t="s">
        <v>587</v>
      </c>
      <c r="B512" t="s">
        <v>229</v>
      </c>
      <c r="C512" s="8" t="s">
        <v>33</v>
      </c>
      <c r="D512" s="9" t="s">
        <v>19</v>
      </c>
      <c r="E512" t="s">
        <v>60</v>
      </c>
      <c r="F512" s="2">
        <v>46194</v>
      </c>
      <c r="G512" s="3">
        <v>27</v>
      </c>
      <c r="H512" s="2">
        <v>46230</v>
      </c>
      <c r="I512" s="2">
        <v>46230</v>
      </c>
      <c r="J512" s="3">
        <f>COUNTIFS('OOS Events'!$C:$C,B512,'OOS Events'!$D:$D,C512,'OOS Events'!$E:$E,"&gt;="&amp;D512-90,'OOS Events'!$E:$E,"&lt;"&amp;D512)</f>
        <v>0</v>
      </c>
      <c r="K512" s="3">
        <f>COUNTIF('OOS Events'!$B:$B,A512)</f>
        <v>0</v>
      </c>
      <c r="L512" s="3">
        <v>1</v>
      </c>
      <c r="M512" s="3">
        <v>30</v>
      </c>
      <c r="N512" t="s">
        <v>35</v>
      </c>
    </row>
    <row r="513" spans="1:14" ht="15" customHeight="1">
      <c r="A513" t="s">
        <v>588</v>
      </c>
      <c r="B513" t="s">
        <v>74</v>
      </c>
      <c r="C513" s="8" t="s">
        <v>75</v>
      </c>
      <c r="D513" s="9" t="s">
        <v>72</v>
      </c>
      <c r="E513" t="s">
        <v>30</v>
      </c>
      <c r="F513" s="2">
        <v>46196</v>
      </c>
      <c r="G513" s="3">
        <v>15</v>
      </c>
      <c r="H513" s="2">
        <v>46219</v>
      </c>
      <c r="I513" s="4">
        <v>46222</v>
      </c>
      <c r="J513" s="3">
        <f>COUNTIFS('OOS Events'!$C:$C,B513,'OOS Events'!$D:$D,C513,'OOS Events'!$E:$E,"&gt;="&amp;D513-90,'OOS Events'!$E:$E,"&lt;"&amp;D513)</f>
        <v>0</v>
      </c>
      <c r="K513" s="3">
        <f>COUNTIF('OOS Events'!$B:$B,A513)</f>
        <v>0</v>
      </c>
      <c r="L513" s="3">
        <v>2</v>
      </c>
      <c r="M513" s="3">
        <v>19</v>
      </c>
      <c r="N513" t="s">
        <v>40</v>
      </c>
    </row>
    <row r="514" spans="1:14" ht="15" customHeight="1">
      <c r="A514" t="s">
        <v>589</v>
      </c>
      <c r="B514" t="s">
        <v>77</v>
      </c>
      <c r="C514" s="8" t="s">
        <v>33</v>
      </c>
      <c r="D514" s="9" t="s">
        <v>19</v>
      </c>
      <c r="E514" t="s">
        <v>20</v>
      </c>
      <c r="F514" s="2">
        <v>46197</v>
      </c>
      <c r="G514" s="3">
        <v>20</v>
      </c>
      <c r="H514" s="2">
        <v>46225</v>
      </c>
      <c r="I514" s="2">
        <v>46223</v>
      </c>
      <c r="J514" s="3">
        <f>COUNTIFS('OOS Events'!$C:$C,B514,'OOS Events'!$D:$D,C514,'OOS Events'!$E:$E,"&gt;="&amp;D514-90,'OOS Events'!$E:$E,"&lt;"&amp;D514)</f>
        <v>0</v>
      </c>
      <c r="K514" s="3">
        <f>COUNTIF('OOS Events'!$B:$B,A514)</f>
        <v>1</v>
      </c>
      <c r="L514" s="3">
        <v>2</v>
      </c>
      <c r="M514" s="3">
        <v>28</v>
      </c>
      <c r="N514" t="s">
        <v>44</v>
      </c>
    </row>
    <row r="515" spans="1:14" ht="15" customHeight="1">
      <c r="A515" t="s">
        <v>590</v>
      </c>
      <c r="B515" t="s">
        <v>263</v>
      </c>
      <c r="C515" s="8" t="s">
        <v>33</v>
      </c>
      <c r="D515" s="9" t="s">
        <v>19</v>
      </c>
      <c r="E515" t="s">
        <v>34</v>
      </c>
      <c r="F515" s="2">
        <v>46198</v>
      </c>
      <c r="G515" s="3">
        <v>9</v>
      </c>
      <c r="H515" s="2">
        <v>46210</v>
      </c>
      <c r="I515" s="2">
        <v>46210</v>
      </c>
      <c r="J515" s="3">
        <f>COUNTIFS('OOS Events'!$C:$C,B515,'OOS Events'!$D:$D,C515,'OOS Events'!$E:$E,"&gt;="&amp;D515-90,'OOS Events'!$E:$E,"&lt;"&amp;D515)</f>
        <v>0</v>
      </c>
      <c r="K515" s="3">
        <f>COUNTIF('OOS Events'!$B:$B,A515)</f>
        <v>0</v>
      </c>
      <c r="L515" s="3">
        <v>0</v>
      </c>
      <c r="M515" s="3">
        <v>35</v>
      </c>
      <c r="N515" t="s">
        <v>21</v>
      </c>
    </row>
    <row r="516" spans="1:14" ht="15" customHeight="1">
      <c r="A516" t="s">
        <v>591</v>
      </c>
      <c r="B516" t="s">
        <v>79</v>
      </c>
      <c r="C516" s="8" t="s">
        <v>33</v>
      </c>
      <c r="D516" s="9" t="s">
        <v>19</v>
      </c>
      <c r="E516" t="s">
        <v>43</v>
      </c>
      <c r="F516" s="2">
        <v>46200</v>
      </c>
      <c r="G516" s="3">
        <v>26</v>
      </c>
      <c r="H516" s="2">
        <v>46237</v>
      </c>
      <c r="I516" s="4">
        <v>46239</v>
      </c>
      <c r="J516" s="3">
        <f>COUNTIFS('OOS Events'!$C:$C,B516,'OOS Events'!$D:$D,C516,'OOS Events'!$E:$E,"&gt;="&amp;D516-90,'OOS Events'!$E:$E,"&lt;"&amp;D516)</f>
        <v>0</v>
      </c>
      <c r="K516" s="3">
        <f>COUNTIF('OOS Events'!$B:$B,A516)</f>
        <v>0</v>
      </c>
      <c r="L516" s="3">
        <v>1</v>
      </c>
      <c r="M516" s="3">
        <v>27</v>
      </c>
      <c r="N516" t="s">
        <v>27</v>
      </c>
    </row>
    <row r="517" spans="1:14" ht="15" customHeight="1">
      <c r="A517" t="s">
        <v>592</v>
      </c>
      <c r="B517" t="s">
        <v>81</v>
      </c>
      <c r="C517" s="8" t="s">
        <v>71</v>
      </c>
      <c r="D517" s="9" t="s">
        <v>72</v>
      </c>
      <c r="E517" t="s">
        <v>26</v>
      </c>
      <c r="F517" s="2">
        <v>46201</v>
      </c>
      <c r="G517" s="3">
        <v>10</v>
      </c>
      <c r="H517" s="2">
        <v>46219</v>
      </c>
      <c r="I517" s="2">
        <v>46219</v>
      </c>
      <c r="J517" s="3">
        <f>COUNTIFS('OOS Events'!$C:$C,B517,'OOS Events'!$D:$D,C517,'OOS Events'!$E:$E,"&gt;="&amp;D517-90,'OOS Events'!$E:$E,"&lt;"&amp;D517)</f>
        <v>0</v>
      </c>
      <c r="K517" s="3">
        <f>COUNTIF('OOS Events'!$B:$B,A517)</f>
        <v>0</v>
      </c>
      <c r="L517" s="3">
        <v>0</v>
      </c>
      <c r="M517" s="3">
        <v>26</v>
      </c>
      <c r="N517" t="s">
        <v>40</v>
      </c>
    </row>
    <row r="518" spans="1:14" ht="15" customHeight="1">
      <c r="A518" t="s">
        <v>593</v>
      </c>
      <c r="B518" t="s">
        <v>206</v>
      </c>
      <c r="C518" s="8" t="s">
        <v>71</v>
      </c>
      <c r="D518" s="9" t="s">
        <v>72</v>
      </c>
      <c r="E518" t="s">
        <v>34</v>
      </c>
      <c r="F518" s="2">
        <v>46201</v>
      </c>
      <c r="G518" s="3">
        <v>17</v>
      </c>
      <c r="H518" s="2">
        <v>46235</v>
      </c>
      <c r="I518" s="2">
        <v>46234</v>
      </c>
      <c r="J518" s="3">
        <f>COUNTIFS('OOS Events'!$C:$C,B518,'OOS Events'!$D:$D,C518,'OOS Events'!$E:$E,"&gt;="&amp;D518-90,'OOS Events'!$E:$E,"&lt;"&amp;D518)</f>
        <v>0</v>
      </c>
      <c r="K518" s="3">
        <f>COUNTIF('OOS Events'!$B:$B,A518)</f>
        <v>0</v>
      </c>
      <c r="L518" s="3">
        <v>0</v>
      </c>
      <c r="M518" s="3">
        <v>32</v>
      </c>
      <c r="N518" t="s">
        <v>35</v>
      </c>
    </row>
    <row r="519" spans="1:14" ht="15" customHeight="1">
      <c r="A519" t="s">
        <v>594</v>
      </c>
      <c r="B519" t="s">
        <v>295</v>
      </c>
      <c r="C519" s="8" t="s">
        <v>33</v>
      </c>
      <c r="D519" s="9" t="s">
        <v>19</v>
      </c>
      <c r="E519" t="s">
        <v>30</v>
      </c>
      <c r="F519" s="2">
        <v>46202</v>
      </c>
      <c r="G519" s="3">
        <v>10</v>
      </c>
      <c r="H519" s="2">
        <v>46230</v>
      </c>
      <c r="I519" s="2">
        <v>46230</v>
      </c>
      <c r="J519" s="3">
        <f>COUNTIFS('OOS Events'!$C:$C,B519,'OOS Events'!$D:$D,C519,'OOS Events'!$E:$E,"&gt;="&amp;D519-90,'OOS Events'!$E:$E,"&lt;"&amp;D519)</f>
        <v>0</v>
      </c>
      <c r="K519" s="3">
        <f>COUNTIF('OOS Events'!$B:$B,A519)</f>
        <v>0</v>
      </c>
      <c r="L519" s="3">
        <v>3</v>
      </c>
      <c r="M519" s="3">
        <v>27</v>
      </c>
      <c r="N519" t="s">
        <v>47</v>
      </c>
    </row>
    <row r="520" spans="1:14" ht="15" customHeight="1">
      <c r="A520" t="s">
        <v>595</v>
      </c>
      <c r="B520" t="s">
        <v>83</v>
      </c>
      <c r="C520" s="8" t="s">
        <v>33</v>
      </c>
      <c r="D520" s="9" t="s">
        <v>19</v>
      </c>
      <c r="E520" t="s">
        <v>26</v>
      </c>
      <c r="F520" s="2">
        <v>46204</v>
      </c>
      <c r="G520" s="3">
        <v>15</v>
      </c>
      <c r="H520" s="2">
        <v>46230</v>
      </c>
      <c r="I520" s="4">
        <v>46235</v>
      </c>
      <c r="J520" s="3">
        <f>COUNTIFS('OOS Events'!$C:$C,B520,'OOS Events'!$D:$D,C520,'OOS Events'!$E:$E,"&gt;="&amp;D520-90,'OOS Events'!$E:$E,"&lt;"&amp;D520)</f>
        <v>0</v>
      </c>
      <c r="K520" s="3">
        <f>COUNTIF('OOS Events'!$B:$B,A520)</f>
        <v>1</v>
      </c>
      <c r="L520" s="3">
        <v>0</v>
      </c>
      <c r="M520" s="3">
        <v>16</v>
      </c>
      <c r="N520" t="s">
        <v>44</v>
      </c>
    </row>
    <row r="521" spans="1:14" ht="15" customHeight="1">
      <c r="A521" t="s">
        <v>596</v>
      </c>
      <c r="B521" t="s">
        <v>85</v>
      </c>
      <c r="C521" s="8" t="s">
        <v>71</v>
      </c>
      <c r="D521" s="9" t="s">
        <v>72</v>
      </c>
      <c r="E521" t="s">
        <v>43</v>
      </c>
      <c r="F521" s="2">
        <v>46205</v>
      </c>
      <c r="G521" s="3">
        <v>24</v>
      </c>
      <c r="H521" s="2">
        <v>46243</v>
      </c>
      <c r="I521" s="4">
        <v>46246</v>
      </c>
      <c r="J521" s="3">
        <f>COUNTIFS('OOS Events'!$C:$C,B521,'OOS Events'!$D:$D,C521,'OOS Events'!$E:$E,"&gt;="&amp;D521-90,'OOS Events'!$E:$E,"&lt;"&amp;D521)</f>
        <v>0</v>
      </c>
      <c r="K521" s="3">
        <f>COUNTIF('OOS Events'!$B:$B,A521)</f>
        <v>0</v>
      </c>
      <c r="L521" s="3">
        <v>0</v>
      </c>
      <c r="M521" s="3">
        <v>38</v>
      </c>
      <c r="N521" t="s">
        <v>27</v>
      </c>
    </row>
    <row r="522" spans="1:14" ht="15" customHeight="1">
      <c r="A522" t="s">
        <v>597</v>
      </c>
      <c r="B522" t="s">
        <v>238</v>
      </c>
      <c r="C522" s="8" t="s">
        <v>239</v>
      </c>
      <c r="D522" s="9" t="s">
        <v>240</v>
      </c>
      <c r="E522" t="s">
        <v>30</v>
      </c>
      <c r="F522" s="2">
        <v>46205</v>
      </c>
      <c r="G522" s="3">
        <v>13</v>
      </c>
      <c r="H522" s="2">
        <v>46225</v>
      </c>
      <c r="I522" s="2">
        <v>46224</v>
      </c>
      <c r="J522" s="3">
        <f>COUNTIFS('OOS Events'!$C:$C,B522,'OOS Events'!$D:$D,C522,'OOS Events'!$E:$E,"&gt;="&amp;D522-90,'OOS Events'!$E:$E,"&lt;"&amp;D522)</f>
        <v>0</v>
      </c>
      <c r="K522" s="3">
        <f>COUNTIF('OOS Events'!$B:$B,A522)</f>
        <v>1</v>
      </c>
      <c r="L522" s="3">
        <v>2</v>
      </c>
      <c r="M522" s="3">
        <v>9</v>
      </c>
      <c r="N522" t="s">
        <v>21</v>
      </c>
    </row>
    <row r="523" spans="1:14" ht="15" customHeight="1">
      <c r="A523" t="s">
        <v>598</v>
      </c>
      <c r="B523" t="s">
        <v>87</v>
      </c>
      <c r="C523" s="8" t="s">
        <v>71</v>
      </c>
      <c r="D523" s="9" t="s">
        <v>72</v>
      </c>
      <c r="E523" t="s">
        <v>43</v>
      </c>
      <c r="F523" s="2">
        <v>46206</v>
      </c>
      <c r="G523" s="3">
        <v>25</v>
      </c>
      <c r="H523" s="2">
        <v>46239</v>
      </c>
      <c r="I523" s="2">
        <v>46239</v>
      </c>
      <c r="J523" s="3">
        <f>COUNTIFS('OOS Events'!$C:$C,B523,'OOS Events'!$D:$D,C523,'OOS Events'!$E:$E,"&gt;="&amp;D523-90,'OOS Events'!$E:$E,"&lt;"&amp;D523)</f>
        <v>0</v>
      </c>
      <c r="K523" s="3">
        <f>COUNTIF('OOS Events'!$B:$B,A523)</f>
        <v>0</v>
      </c>
      <c r="L523" s="3">
        <v>3</v>
      </c>
      <c r="M523" s="3">
        <v>35</v>
      </c>
      <c r="N523" t="s">
        <v>35</v>
      </c>
    </row>
    <row r="524" spans="1:14" ht="15" customHeight="1">
      <c r="A524" t="s">
        <v>599</v>
      </c>
      <c r="B524" t="s">
        <v>89</v>
      </c>
      <c r="C524" s="8" t="s">
        <v>24</v>
      </c>
      <c r="D524" s="9" t="s">
        <v>25</v>
      </c>
      <c r="E524" t="s">
        <v>43</v>
      </c>
      <c r="F524" s="2">
        <v>46208</v>
      </c>
      <c r="G524" s="3">
        <v>21</v>
      </c>
      <c r="H524" s="2">
        <v>46227</v>
      </c>
      <c r="I524" s="4">
        <v>46228</v>
      </c>
      <c r="J524" s="3">
        <f>COUNTIFS('OOS Events'!$C:$C,B524,'OOS Events'!$D:$D,C524,'OOS Events'!$E:$E,"&gt;="&amp;D524-90,'OOS Events'!$E:$E,"&lt;"&amp;D524)</f>
        <v>0</v>
      </c>
      <c r="K524" s="3">
        <f>COUNTIF('OOS Events'!$B:$B,A524)</f>
        <v>0</v>
      </c>
      <c r="L524" s="3">
        <v>2</v>
      </c>
      <c r="M524" s="3">
        <v>11</v>
      </c>
      <c r="N524" t="s">
        <v>40</v>
      </c>
    </row>
    <row r="525" spans="1:14" ht="15" customHeight="1">
      <c r="A525" t="s">
        <v>600</v>
      </c>
      <c r="B525" t="s">
        <v>91</v>
      </c>
      <c r="C525" s="8" t="s">
        <v>24</v>
      </c>
      <c r="D525" s="9" t="s">
        <v>25</v>
      </c>
      <c r="E525" t="s">
        <v>30</v>
      </c>
      <c r="F525" s="2">
        <v>46209</v>
      </c>
      <c r="G525" s="3">
        <v>20</v>
      </c>
      <c r="H525" s="2">
        <v>46230</v>
      </c>
      <c r="I525" s="4">
        <v>46232</v>
      </c>
      <c r="J525" s="3">
        <f>COUNTIFS('OOS Events'!$C:$C,B525,'OOS Events'!$D:$D,C525,'OOS Events'!$E:$E,"&gt;="&amp;D525-90,'OOS Events'!$E:$E,"&lt;"&amp;D525)</f>
        <v>0</v>
      </c>
      <c r="K525" s="3">
        <f>COUNTIF('OOS Events'!$B:$B,A525)</f>
        <v>0</v>
      </c>
      <c r="L525" s="3">
        <v>0</v>
      </c>
      <c r="M525" s="3">
        <v>36</v>
      </c>
      <c r="N525" t="s">
        <v>44</v>
      </c>
    </row>
    <row r="526" spans="1:14" ht="15" customHeight="1">
      <c r="A526" t="s">
        <v>601</v>
      </c>
      <c r="B526" t="s">
        <v>273</v>
      </c>
      <c r="C526" s="8" t="s">
        <v>24</v>
      </c>
      <c r="D526" s="9" t="s">
        <v>25</v>
      </c>
      <c r="E526" t="s">
        <v>20</v>
      </c>
      <c r="F526" s="2">
        <v>46209</v>
      </c>
      <c r="G526" s="3">
        <v>14</v>
      </c>
      <c r="H526" s="2">
        <v>46239</v>
      </c>
      <c r="I526" s="2">
        <v>46236</v>
      </c>
      <c r="J526" s="3">
        <f>COUNTIFS('OOS Events'!$C:$C,B526,'OOS Events'!$D:$D,C526,'OOS Events'!$E:$E,"&gt;="&amp;D526-90,'OOS Events'!$E:$E,"&lt;"&amp;D526)</f>
        <v>0</v>
      </c>
      <c r="K526" s="3">
        <f>COUNTIF('OOS Events'!$B:$B,A526)</f>
        <v>0</v>
      </c>
      <c r="L526" s="3">
        <v>1</v>
      </c>
      <c r="M526" s="3">
        <v>21</v>
      </c>
      <c r="N526" t="s">
        <v>47</v>
      </c>
    </row>
    <row r="527" spans="1:14" ht="15" customHeight="1">
      <c r="A527" t="s">
        <v>602</v>
      </c>
      <c r="B527" t="s">
        <v>23</v>
      </c>
      <c r="C527" s="8" t="s">
        <v>24</v>
      </c>
      <c r="D527" s="9" t="s">
        <v>25</v>
      </c>
      <c r="E527" t="s">
        <v>26</v>
      </c>
      <c r="F527" s="2">
        <v>46210</v>
      </c>
      <c r="G527" s="3">
        <v>19</v>
      </c>
      <c r="H527" s="2">
        <v>46228</v>
      </c>
      <c r="I527" s="2">
        <v>46227</v>
      </c>
      <c r="J527" s="3">
        <f>COUNTIFS('OOS Events'!$C:$C,B527,'OOS Events'!$D:$D,C527,'OOS Events'!$E:$E,"&gt;="&amp;D527-90,'OOS Events'!$E:$E,"&lt;"&amp;D527)</f>
        <v>0</v>
      </c>
      <c r="K527" s="3">
        <f>COUNTIF('OOS Events'!$B:$B,A527)</f>
        <v>1</v>
      </c>
      <c r="L527" s="3">
        <v>0</v>
      </c>
      <c r="M527" s="3">
        <v>14</v>
      </c>
      <c r="N527" t="s">
        <v>21</v>
      </c>
    </row>
    <row r="528" spans="1:14" ht="15" customHeight="1">
      <c r="A528" t="s">
        <v>603</v>
      </c>
      <c r="B528" t="s">
        <v>29</v>
      </c>
      <c r="C528" s="8" t="s">
        <v>24</v>
      </c>
      <c r="D528" s="9" t="s">
        <v>25</v>
      </c>
      <c r="E528" t="s">
        <v>60</v>
      </c>
      <c r="F528" s="2">
        <v>46212</v>
      </c>
      <c r="G528" s="3">
        <v>25</v>
      </c>
      <c r="H528" s="2">
        <v>46251</v>
      </c>
      <c r="I528" s="4">
        <v>46253</v>
      </c>
      <c r="J528" s="3">
        <f>COUNTIFS('OOS Events'!$C:$C,B528,'OOS Events'!$D:$D,C528,'OOS Events'!$E:$E,"&gt;="&amp;D528-90,'OOS Events'!$E:$E,"&lt;"&amp;D528)</f>
        <v>0</v>
      </c>
      <c r="K528" s="3">
        <f>COUNTIF('OOS Events'!$B:$B,A528)</f>
        <v>1</v>
      </c>
      <c r="L528" s="3">
        <v>0</v>
      </c>
      <c r="M528" s="3">
        <v>39</v>
      </c>
      <c r="N528" t="s">
        <v>27</v>
      </c>
    </row>
    <row r="529" spans="1:14" ht="15" customHeight="1">
      <c r="A529" t="s">
        <v>604</v>
      </c>
      <c r="B529" t="s">
        <v>37</v>
      </c>
      <c r="C529" s="8" t="s">
        <v>38</v>
      </c>
      <c r="D529" s="9" t="s">
        <v>39</v>
      </c>
      <c r="E529" t="s">
        <v>26</v>
      </c>
      <c r="F529" s="2">
        <v>46213</v>
      </c>
      <c r="G529" s="3">
        <v>22</v>
      </c>
      <c r="H529" s="2">
        <v>46246</v>
      </c>
      <c r="I529" s="2">
        <v>46245</v>
      </c>
      <c r="J529" s="3">
        <f>COUNTIFS('OOS Events'!$C:$C,B529,'OOS Events'!$D:$D,C529,'OOS Events'!$E:$E,"&gt;="&amp;D529-90,'OOS Events'!$E:$E,"&lt;"&amp;D529)</f>
        <v>0</v>
      </c>
      <c r="K529" s="3">
        <f>COUNTIF('OOS Events'!$B:$B,A529)</f>
        <v>0</v>
      </c>
      <c r="L529" s="3">
        <v>0</v>
      </c>
      <c r="M529" s="3">
        <v>32</v>
      </c>
      <c r="N529" t="s">
        <v>35</v>
      </c>
    </row>
    <row r="530" spans="1:14" ht="15" customHeight="1">
      <c r="A530" t="s">
        <v>605</v>
      </c>
      <c r="B530" t="s">
        <v>42</v>
      </c>
      <c r="C530" s="8" t="s">
        <v>24</v>
      </c>
      <c r="D530" s="9" t="s">
        <v>25</v>
      </c>
      <c r="E530" t="s">
        <v>43</v>
      </c>
      <c r="F530" s="2">
        <v>46214</v>
      </c>
      <c r="G530" s="3">
        <v>29</v>
      </c>
      <c r="H530" s="2">
        <v>46242</v>
      </c>
      <c r="I530" s="4">
        <v>46247</v>
      </c>
      <c r="J530" s="3">
        <f>COUNTIFS('OOS Events'!$C:$C,B530,'OOS Events'!$D:$D,C530,'OOS Events'!$E:$E,"&gt;="&amp;D530-90,'OOS Events'!$E:$E,"&lt;"&amp;D530)</f>
        <v>0</v>
      </c>
      <c r="K530" s="3">
        <f>COUNTIF('OOS Events'!$B:$B,A530)</f>
        <v>0</v>
      </c>
      <c r="L530" s="3">
        <v>2</v>
      </c>
      <c r="M530" s="3">
        <v>12</v>
      </c>
      <c r="N530" t="s">
        <v>47</v>
      </c>
    </row>
    <row r="531" spans="1:14" ht="15" customHeight="1">
      <c r="A531" t="s">
        <v>606</v>
      </c>
      <c r="B531" t="s">
        <v>46</v>
      </c>
      <c r="C531" s="8" t="s">
        <v>24</v>
      </c>
      <c r="D531" s="9" t="s">
        <v>25</v>
      </c>
      <c r="E531" t="s">
        <v>34</v>
      </c>
      <c r="F531" s="2">
        <v>46216</v>
      </c>
      <c r="G531" s="3">
        <v>15</v>
      </c>
      <c r="H531" s="2">
        <v>46237</v>
      </c>
      <c r="I531" s="4">
        <v>46238</v>
      </c>
      <c r="J531" s="3">
        <f>COUNTIFS('OOS Events'!$C:$C,B531,'OOS Events'!$D:$D,C531,'OOS Events'!$E:$E,"&gt;="&amp;D531-90,'OOS Events'!$E:$E,"&lt;"&amp;D531)</f>
        <v>0</v>
      </c>
      <c r="K531" s="3">
        <f>COUNTIF('OOS Events'!$B:$B,A531)</f>
        <v>0</v>
      </c>
      <c r="L531" s="3">
        <v>0</v>
      </c>
      <c r="M531" s="3">
        <v>13</v>
      </c>
      <c r="N531" t="s">
        <v>44</v>
      </c>
    </row>
    <row r="532" spans="1:14" ht="15" customHeight="1">
      <c r="A532" t="s">
        <v>607</v>
      </c>
      <c r="B532" t="s">
        <v>51</v>
      </c>
      <c r="C532" s="8" t="s">
        <v>38</v>
      </c>
      <c r="D532" s="9" t="s">
        <v>39</v>
      </c>
      <c r="E532" t="s">
        <v>34</v>
      </c>
      <c r="F532" s="2">
        <v>46217</v>
      </c>
      <c r="G532" s="3">
        <v>13</v>
      </c>
      <c r="H532" s="2">
        <v>46230</v>
      </c>
      <c r="I532" s="2">
        <v>46230</v>
      </c>
      <c r="J532" s="3">
        <f>COUNTIFS('OOS Events'!$C:$C,B532,'OOS Events'!$D:$D,C532,'OOS Events'!$E:$E,"&gt;="&amp;D532-90,'OOS Events'!$E:$E,"&lt;"&amp;D532)</f>
        <v>0</v>
      </c>
      <c r="K532" s="3">
        <f>COUNTIF('OOS Events'!$B:$B,A532)</f>
        <v>0</v>
      </c>
      <c r="L532" s="3">
        <v>0</v>
      </c>
      <c r="M532" s="3">
        <v>16</v>
      </c>
      <c r="N532" t="s">
        <v>21</v>
      </c>
    </row>
    <row r="533" spans="1:14" ht="15" customHeight="1">
      <c r="A533" t="s">
        <v>608</v>
      </c>
      <c r="B533" t="s">
        <v>53</v>
      </c>
      <c r="C533" s="8" t="s">
        <v>24</v>
      </c>
      <c r="D533" s="9" t="s">
        <v>25</v>
      </c>
      <c r="E533" t="s">
        <v>60</v>
      </c>
      <c r="F533" s="2">
        <v>46218</v>
      </c>
      <c r="G533" s="3">
        <v>20</v>
      </c>
      <c r="H533" s="2">
        <v>46250</v>
      </c>
      <c r="I533" s="4">
        <v>46251</v>
      </c>
      <c r="J533" s="3">
        <f>COUNTIFS('OOS Events'!$C:$C,B533,'OOS Events'!$D:$D,C533,'OOS Events'!$E:$E,"&gt;="&amp;D533-90,'OOS Events'!$E:$E,"&lt;"&amp;D533)</f>
        <v>0</v>
      </c>
      <c r="K533" s="3">
        <f>COUNTIF('OOS Events'!$B:$B,A533)</f>
        <v>2</v>
      </c>
      <c r="L533" s="3">
        <v>2</v>
      </c>
      <c r="M533" s="3">
        <v>30</v>
      </c>
      <c r="N533" t="s">
        <v>35</v>
      </c>
    </row>
    <row r="534" spans="1:14" ht="15" customHeight="1">
      <c r="A534" t="s">
        <v>609</v>
      </c>
      <c r="B534" t="s">
        <v>55</v>
      </c>
      <c r="C534" s="8" t="s">
        <v>33</v>
      </c>
      <c r="D534" s="9" t="s">
        <v>19</v>
      </c>
      <c r="E534" t="s">
        <v>26</v>
      </c>
      <c r="F534" s="2">
        <v>46220</v>
      </c>
      <c r="G534" s="3">
        <v>24</v>
      </c>
      <c r="H534" s="2">
        <v>46239</v>
      </c>
      <c r="I534" s="2">
        <v>46239</v>
      </c>
      <c r="J534" s="3">
        <f>COUNTIFS('OOS Events'!$C:$C,B534,'OOS Events'!$D:$D,C534,'OOS Events'!$E:$E,"&gt;="&amp;D534-90,'OOS Events'!$E:$E,"&lt;"&amp;D534)</f>
        <v>0</v>
      </c>
      <c r="K534" s="3">
        <f>COUNTIF('OOS Events'!$B:$B,A534)</f>
        <v>0</v>
      </c>
      <c r="L534" s="3">
        <v>0</v>
      </c>
      <c r="M534" s="3">
        <v>9</v>
      </c>
      <c r="N534" t="s">
        <v>40</v>
      </c>
    </row>
    <row r="535" spans="1:14" ht="15" customHeight="1">
      <c r="A535" t="s">
        <v>610</v>
      </c>
      <c r="B535" t="s">
        <v>59</v>
      </c>
      <c r="C535" s="8" t="s">
        <v>24</v>
      </c>
      <c r="D535" s="9" t="s">
        <v>25</v>
      </c>
      <c r="E535" t="s">
        <v>60</v>
      </c>
      <c r="F535" s="2">
        <v>46221</v>
      </c>
      <c r="G535" s="3">
        <v>26</v>
      </c>
      <c r="H535" s="2">
        <v>46248</v>
      </c>
      <c r="I535" s="2">
        <v>46248</v>
      </c>
      <c r="J535" s="3">
        <f>COUNTIFS('OOS Events'!$C:$C,B535,'OOS Events'!$D:$D,C535,'OOS Events'!$E:$E,"&gt;="&amp;D535-90,'OOS Events'!$E:$E,"&lt;"&amp;D535)</f>
        <v>0</v>
      </c>
      <c r="K535" s="3">
        <f>COUNTIF('OOS Events'!$B:$B,A535)</f>
        <v>0</v>
      </c>
      <c r="L535" s="3">
        <v>0</v>
      </c>
      <c r="M535" s="3">
        <v>28</v>
      </c>
      <c r="N535" t="s">
        <v>47</v>
      </c>
    </row>
    <row r="536" spans="1:14" ht="15" customHeight="1">
      <c r="A536" t="s">
        <v>611</v>
      </c>
      <c r="B536" t="s">
        <v>62</v>
      </c>
      <c r="C536" s="8" t="s">
        <v>33</v>
      </c>
      <c r="D536" s="9" t="s">
        <v>19</v>
      </c>
      <c r="E536" t="s">
        <v>34</v>
      </c>
      <c r="F536" s="2">
        <v>46222</v>
      </c>
      <c r="G536" s="3">
        <v>15</v>
      </c>
      <c r="H536" s="2">
        <v>46236</v>
      </c>
      <c r="I536" s="4">
        <v>46237</v>
      </c>
      <c r="J536" s="3">
        <f>COUNTIFS('OOS Events'!$C:$C,B536,'OOS Events'!$D:$D,C536,'OOS Events'!$E:$E,"&gt;="&amp;D536-90,'OOS Events'!$E:$E,"&lt;"&amp;D536)</f>
        <v>0</v>
      </c>
      <c r="K536" s="3">
        <f>COUNTIF('OOS Events'!$B:$B,A536)</f>
        <v>2</v>
      </c>
      <c r="L536" s="3">
        <v>0</v>
      </c>
      <c r="M536" s="3">
        <v>33</v>
      </c>
      <c r="N536" t="s">
        <v>21</v>
      </c>
    </row>
    <row r="537" spans="1:14" ht="15" customHeight="1">
      <c r="A537" t="s">
        <v>612</v>
      </c>
      <c r="B537" t="s">
        <v>66</v>
      </c>
      <c r="C537" s="8" t="s">
        <v>24</v>
      </c>
      <c r="D537" s="9" t="s">
        <v>25</v>
      </c>
      <c r="E537" t="s">
        <v>34</v>
      </c>
      <c r="F537" s="2">
        <v>46225</v>
      </c>
      <c r="G537" s="3">
        <v>18</v>
      </c>
      <c r="H537" s="2">
        <v>46259</v>
      </c>
      <c r="I537" s="2">
        <v>46258</v>
      </c>
      <c r="J537" s="3">
        <f>COUNTIFS('OOS Events'!$C:$C,B537,'OOS Events'!$D:$D,C537,'OOS Events'!$E:$E,"&gt;="&amp;D537-90,'OOS Events'!$E:$E,"&lt;"&amp;D537)</f>
        <v>0</v>
      </c>
      <c r="K537" s="3">
        <f>COUNTIF('OOS Events'!$B:$B,A537)</f>
        <v>0</v>
      </c>
      <c r="L537" s="3">
        <v>1</v>
      </c>
      <c r="M537" s="3">
        <v>37</v>
      </c>
      <c r="N537" t="s">
        <v>35</v>
      </c>
    </row>
    <row r="538" spans="1:14" ht="15" customHeight="1">
      <c r="A538" t="s">
        <v>613</v>
      </c>
      <c r="B538" t="s">
        <v>68</v>
      </c>
      <c r="C538" s="8" t="s">
        <v>24</v>
      </c>
      <c r="D538" s="9" t="s">
        <v>25</v>
      </c>
      <c r="E538" t="s">
        <v>26</v>
      </c>
      <c r="F538" s="2">
        <v>46226</v>
      </c>
      <c r="G538" s="3">
        <v>24</v>
      </c>
      <c r="H538" s="2">
        <v>46251</v>
      </c>
      <c r="I538" s="4">
        <v>46253</v>
      </c>
      <c r="J538" s="3">
        <f>COUNTIFS('OOS Events'!$C:$C,B538,'OOS Events'!$D:$D,C538,'OOS Events'!$E:$E,"&gt;="&amp;D538-90,'OOS Events'!$E:$E,"&lt;"&amp;D538)</f>
        <v>0</v>
      </c>
      <c r="K538" s="3">
        <f>COUNTIF('OOS Events'!$B:$B,A538)</f>
        <v>1</v>
      </c>
      <c r="L538" s="3">
        <v>0</v>
      </c>
      <c r="M538" s="3">
        <v>32</v>
      </c>
      <c r="N538" t="s">
        <v>47</v>
      </c>
    </row>
    <row r="539" spans="1:14" ht="15" customHeight="1">
      <c r="A539" t="s">
        <v>614</v>
      </c>
      <c r="B539" t="s">
        <v>229</v>
      </c>
      <c r="C539" s="8" t="s">
        <v>33</v>
      </c>
      <c r="D539" s="9" t="s">
        <v>19</v>
      </c>
      <c r="E539" t="s">
        <v>60</v>
      </c>
      <c r="F539" s="2">
        <v>46227</v>
      </c>
      <c r="G539" s="3">
        <v>25</v>
      </c>
      <c r="H539" s="2">
        <v>46266</v>
      </c>
      <c r="I539" s="4">
        <v>46274</v>
      </c>
      <c r="J539" s="3">
        <f>COUNTIFS('OOS Events'!$C:$C,B539,'OOS Events'!$D:$D,C539,'OOS Events'!$E:$E,"&gt;="&amp;D539-90,'OOS Events'!$E:$E,"&lt;"&amp;D539)</f>
        <v>0</v>
      </c>
      <c r="K539" s="3">
        <f>COUNTIF('OOS Events'!$B:$B,A539)</f>
        <v>0</v>
      </c>
      <c r="L539" s="3">
        <v>0</v>
      </c>
      <c r="M539" s="3">
        <v>37</v>
      </c>
      <c r="N539" t="s">
        <v>27</v>
      </c>
    </row>
    <row r="540" spans="1:14" ht="15" customHeight="1">
      <c r="A540" t="s">
        <v>615</v>
      </c>
      <c r="B540" t="s">
        <v>74</v>
      </c>
      <c r="C540" s="8" t="s">
        <v>75</v>
      </c>
      <c r="D540" s="9" t="s">
        <v>72</v>
      </c>
      <c r="E540" t="s">
        <v>30</v>
      </c>
      <c r="F540" s="2">
        <v>46229</v>
      </c>
      <c r="G540" s="3">
        <v>10</v>
      </c>
      <c r="H540" s="2">
        <v>46244</v>
      </c>
      <c r="I540" s="4">
        <v>46245</v>
      </c>
      <c r="J540" s="3">
        <f>COUNTIFS('OOS Events'!$C:$C,B540,'OOS Events'!$D:$D,C540,'OOS Events'!$E:$E,"&gt;="&amp;D540-90,'OOS Events'!$E:$E,"&lt;"&amp;D540)</f>
        <v>0</v>
      </c>
      <c r="K540" s="3">
        <f>COUNTIF('OOS Events'!$B:$B,A540)</f>
        <v>0</v>
      </c>
      <c r="L540" s="3">
        <v>1</v>
      </c>
      <c r="M540" s="3">
        <v>17</v>
      </c>
      <c r="N540" t="s">
        <v>21</v>
      </c>
    </row>
    <row r="541" spans="1:14" ht="15" customHeight="1">
      <c r="A541" t="s">
        <v>616</v>
      </c>
      <c r="B541" t="s">
        <v>77</v>
      </c>
      <c r="C541" s="8" t="s">
        <v>33</v>
      </c>
      <c r="D541" s="9" t="s">
        <v>19</v>
      </c>
      <c r="E541" t="s">
        <v>20</v>
      </c>
      <c r="F541" s="2">
        <v>46230</v>
      </c>
      <c r="G541" s="3">
        <v>16</v>
      </c>
      <c r="H541" s="2">
        <v>46260</v>
      </c>
      <c r="I541" s="4">
        <v>46261</v>
      </c>
      <c r="J541" s="3">
        <f>COUNTIFS('OOS Events'!$C:$C,B541,'OOS Events'!$D:$D,C541,'OOS Events'!$E:$E,"&gt;="&amp;D541-90,'OOS Events'!$E:$E,"&lt;"&amp;D541)</f>
        <v>0</v>
      </c>
      <c r="K541" s="3">
        <f>COUNTIF('OOS Events'!$B:$B,A541)</f>
        <v>0</v>
      </c>
      <c r="L541" s="3">
        <v>0</v>
      </c>
      <c r="M541" s="3">
        <v>28</v>
      </c>
      <c r="N541" t="s">
        <v>35</v>
      </c>
    </row>
    <row r="542" spans="1:14" ht="15" customHeight="1">
      <c r="A542" t="s">
        <v>617</v>
      </c>
      <c r="B542" t="s">
        <v>263</v>
      </c>
      <c r="C542" s="8" t="s">
        <v>33</v>
      </c>
      <c r="D542" s="9" t="s">
        <v>19</v>
      </c>
      <c r="E542" t="s">
        <v>34</v>
      </c>
      <c r="F542" s="2">
        <v>46231</v>
      </c>
      <c r="G542" s="3">
        <v>15</v>
      </c>
      <c r="H542" s="2">
        <v>46258</v>
      </c>
      <c r="I542" s="2">
        <v>46258</v>
      </c>
      <c r="J542" s="3">
        <f>COUNTIFS('OOS Events'!$C:$C,B542,'OOS Events'!$D:$D,C542,'OOS Events'!$E:$E,"&gt;="&amp;D542-90,'OOS Events'!$E:$E,"&lt;"&amp;D542)</f>
        <v>0</v>
      </c>
      <c r="K542" s="3">
        <f>COUNTIF('OOS Events'!$B:$B,A542)</f>
        <v>0</v>
      </c>
      <c r="L542" s="3">
        <v>1</v>
      </c>
      <c r="M542" s="3">
        <v>26</v>
      </c>
      <c r="N542" t="s">
        <v>44</v>
      </c>
    </row>
    <row r="543" spans="1:14" ht="15" customHeight="1">
      <c r="A543" t="s">
        <v>618</v>
      </c>
      <c r="B543" t="s">
        <v>79</v>
      </c>
      <c r="C543" s="8" t="s">
        <v>33</v>
      </c>
      <c r="D543" s="9" t="s">
        <v>19</v>
      </c>
      <c r="E543" t="s">
        <v>20</v>
      </c>
      <c r="F543" s="2">
        <v>46233</v>
      </c>
      <c r="G543" s="3">
        <v>12</v>
      </c>
      <c r="H543" s="2">
        <v>46261</v>
      </c>
      <c r="I543" s="2">
        <v>46260</v>
      </c>
      <c r="J543" s="3">
        <f>COUNTIFS('OOS Events'!$C:$C,B543,'OOS Events'!$D:$D,C543,'OOS Events'!$E:$E,"&gt;="&amp;D543-90,'OOS Events'!$E:$E,"&lt;"&amp;D543)</f>
        <v>0</v>
      </c>
      <c r="K543" s="3">
        <f>COUNTIF('OOS Events'!$B:$B,A543)</f>
        <v>0</v>
      </c>
      <c r="L543" s="3">
        <v>0</v>
      </c>
      <c r="M543" s="3">
        <v>30</v>
      </c>
      <c r="N543" t="s">
        <v>47</v>
      </c>
    </row>
    <row r="544" spans="1:14" ht="15" customHeight="1">
      <c r="A544" t="s">
        <v>619</v>
      </c>
      <c r="B544" t="s">
        <v>81</v>
      </c>
      <c r="C544" s="8" t="s">
        <v>71</v>
      </c>
      <c r="D544" s="9" t="s">
        <v>72</v>
      </c>
      <c r="E544" t="s">
        <v>26</v>
      </c>
      <c r="F544" s="2">
        <v>46234</v>
      </c>
      <c r="G544" s="3">
        <v>21</v>
      </c>
      <c r="H544" s="2">
        <v>46247</v>
      </c>
      <c r="I544" s="2">
        <v>46247</v>
      </c>
      <c r="J544" s="3">
        <f>COUNTIFS('OOS Events'!$C:$C,B544,'OOS Events'!$D:$D,C544,'OOS Events'!$E:$E,"&gt;="&amp;D544-90,'OOS Events'!$E:$E,"&lt;"&amp;D544)</f>
        <v>0</v>
      </c>
      <c r="K544" s="3">
        <f>COUNTIF('OOS Events'!$B:$B,A544)</f>
        <v>0</v>
      </c>
      <c r="L544" s="3">
        <v>0</v>
      </c>
      <c r="M544" s="3">
        <v>25</v>
      </c>
      <c r="N544" t="s">
        <v>21</v>
      </c>
    </row>
    <row r="545" spans="1:14" ht="15" customHeight="1">
      <c r="A545" t="s">
        <v>620</v>
      </c>
      <c r="B545" t="s">
        <v>295</v>
      </c>
      <c r="C545" s="8" t="s">
        <v>33</v>
      </c>
      <c r="D545" s="9" t="s">
        <v>19</v>
      </c>
      <c r="E545" t="s">
        <v>30</v>
      </c>
      <c r="F545" s="2">
        <v>46235</v>
      </c>
      <c r="G545" s="3">
        <v>12</v>
      </c>
      <c r="H545" s="2">
        <v>46257</v>
      </c>
      <c r="I545" s="4">
        <v>46265</v>
      </c>
      <c r="J545" s="3">
        <f>COUNTIFS('OOS Events'!$C:$C,B545,'OOS Events'!$D:$D,C545,'OOS Events'!$E:$E,"&gt;="&amp;D545-90,'OOS Events'!$E:$E,"&lt;"&amp;D545)</f>
        <v>0</v>
      </c>
      <c r="K545" s="3">
        <f>COUNTIF('OOS Events'!$B:$B,A545)</f>
        <v>1</v>
      </c>
      <c r="L545" s="3">
        <v>1</v>
      </c>
      <c r="M545" s="3">
        <v>27</v>
      </c>
      <c r="N545" t="s">
        <v>40</v>
      </c>
    </row>
    <row r="546" spans="1:14" ht="15" customHeight="1">
      <c r="A546" t="s">
        <v>621</v>
      </c>
      <c r="B546" t="s">
        <v>83</v>
      </c>
      <c r="C546" s="8" t="s">
        <v>33</v>
      </c>
      <c r="D546" s="9" t="s">
        <v>19</v>
      </c>
      <c r="E546" t="s">
        <v>60</v>
      </c>
      <c r="F546" s="2">
        <v>46237</v>
      </c>
      <c r="G546" s="3">
        <v>23</v>
      </c>
      <c r="H546" s="2">
        <v>46266</v>
      </c>
      <c r="I546" s="2">
        <v>46265</v>
      </c>
      <c r="J546" s="3">
        <f>COUNTIFS('OOS Events'!$C:$C,B546,'OOS Events'!$D:$D,C546,'OOS Events'!$E:$E,"&gt;="&amp;D546-90,'OOS Events'!$E:$E,"&lt;"&amp;D546)</f>
        <v>0</v>
      </c>
      <c r="K546" s="3">
        <f>COUNTIF('OOS Events'!$B:$B,A546)</f>
        <v>1</v>
      </c>
      <c r="L546" s="3">
        <v>1</v>
      </c>
      <c r="M546" s="3">
        <v>39</v>
      </c>
      <c r="N546" t="s">
        <v>35</v>
      </c>
    </row>
    <row r="547" spans="1:14" ht="15" customHeight="1">
      <c r="A547" t="s">
        <v>622</v>
      </c>
      <c r="B547" t="s">
        <v>85</v>
      </c>
      <c r="C547" s="8" t="s">
        <v>71</v>
      </c>
      <c r="D547" s="9" t="s">
        <v>72</v>
      </c>
      <c r="E547" t="s">
        <v>43</v>
      </c>
      <c r="F547" s="2">
        <v>46238</v>
      </c>
      <c r="G547" s="3">
        <v>15</v>
      </c>
      <c r="H547" s="2">
        <v>46266</v>
      </c>
      <c r="I547" s="4">
        <v>46269</v>
      </c>
      <c r="J547" s="3">
        <f>COUNTIFS('OOS Events'!$C:$C,B547,'OOS Events'!$D:$D,C547,'OOS Events'!$E:$E,"&gt;="&amp;D547-90,'OOS Events'!$E:$E,"&lt;"&amp;D547)</f>
        <v>0</v>
      </c>
      <c r="K547" s="3">
        <f>COUNTIF('OOS Events'!$B:$B,A547)</f>
        <v>1</v>
      </c>
      <c r="L547" s="3">
        <v>0</v>
      </c>
      <c r="M547" s="3">
        <v>35</v>
      </c>
      <c r="N547" t="s">
        <v>47</v>
      </c>
    </row>
    <row r="548" spans="1:14" ht="15" customHeight="1">
      <c r="A548" t="s">
        <v>623</v>
      </c>
      <c r="B548" t="s">
        <v>238</v>
      </c>
      <c r="C548" s="8" t="s">
        <v>239</v>
      </c>
      <c r="D548" s="9" t="s">
        <v>240</v>
      </c>
      <c r="E548" t="s">
        <v>30</v>
      </c>
      <c r="F548" s="2">
        <v>46238</v>
      </c>
      <c r="G548" s="3">
        <v>18</v>
      </c>
      <c r="H548" s="2">
        <v>46266</v>
      </c>
      <c r="I548" s="2">
        <v>46264</v>
      </c>
      <c r="J548" s="3">
        <f>COUNTIFS('OOS Events'!$C:$C,B548,'OOS Events'!$D:$D,C548,'OOS Events'!$E:$E,"&gt;="&amp;D548-90,'OOS Events'!$E:$E,"&lt;"&amp;D548)</f>
        <v>0</v>
      </c>
      <c r="K548" s="3">
        <f>COUNTIF('OOS Events'!$B:$B,A548)</f>
        <v>0</v>
      </c>
      <c r="L548" s="3">
        <v>0</v>
      </c>
      <c r="M548" s="3">
        <v>30</v>
      </c>
      <c r="N548" t="s">
        <v>44</v>
      </c>
    </row>
    <row r="549" spans="1:14" ht="15" customHeight="1">
      <c r="A549" t="s">
        <v>624</v>
      </c>
      <c r="B549" t="s">
        <v>87</v>
      </c>
      <c r="C549" s="8" t="s">
        <v>71</v>
      </c>
      <c r="D549" s="9" t="s">
        <v>72</v>
      </c>
      <c r="E549" t="s">
        <v>20</v>
      </c>
      <c r="F549" s="2">
        <v>46239</v>
      </c>
      <c r="G549" s="3">
        <v>20</v>
      </c>
      <c r="H549" s="2">
        <v>46274</v>
      </c>
      <c r="I549" s="2">
        <v>46272</v>
      </c>
      <c r="J549" s="3">
        <f>COUNTIFS('OOS Events'!$C:$C,B549,'OOS Events'!$D:$D,C549,'OOS Events'!$E:$E,"&gt;="&amp;D549-90,'OOS Events'!$E:$E,"&lt;"&amp;D549)</f>
        <v>0</v>
      </c>
      <c r="K549" s="3">
        <f>COUNTIF('OOS Events'!$B:$B,A549)</f>
        <v>0</v>
      </c>
      <c r="L549" s="3">
        <v>1</v>
      </c>
      <c r="M549" s="3">
        <v>32</v>
      </c>
      <c r="N549" t="s">
        <v>27</v>
      </c>
    </row>
    <row r="550" spans="1:14" ht="15" customHeight="1">
      <c r="A550" t="s">
        <v>625</v>
      </c>
      <c r="B550" t="s">
        <v>89</v>
      </c>
      <c r="C550" s="8" t="s">
        <v>24</v>
      </c>
      <c r="D550" s="9" t="s">
        <v>25</v>
      </c>
      <c r="E550" t="s">
        <v>43</v>
      </c>
      <c r="F550" s="2">
        <v>46241</v>
      </c>
      <c r="G550" s="3">
        <v>16</v>
      </c>
      <c r="H550" s="2">
        <v>46255</v>
      </c>
      <c r="I550" s="2">
        <v>46254</v>
      </c>
      <c r="J550" s="3">
        <f>COUNTIFS('OOS Events'!$C:$C,B550,'OOS Events'!$D:$D,C550,'OOS Events'!$E:$E,"&gt;="&amp;D550-90,'OOS Events'!$E:$E,"&lt;"&amp;D550)</f>
        <v>0</v>
      </c>
      <c r="K550" s="3">
        <f>COUNTIF('OOS Events'!$B:$B,A550)</f>
        <v>0</v>
      </c>
      <c r="L550" s="3">
        <v>1</v>
      </c>
      <c r="M550" s="3">
        <v>35</v>
      </c>
      <c r="N550" t="s">
        <v>21</v>
      </c>
    </row>
    <row r="551" spans="1:14" ht="15" customHeight="1">
      <c r="A551" t="s">
        <v>626</v>
      </c>
      <c r="B551" t="s">
        <v>91</v>
      </c>
      <c r="C551" s="8" t="s">
        <v>24</v>
      </c>
      <c r="D551" s="9" t="s">
        <v>25</v>
      </c>
      <c r="E551" t="s">
        <v>60</v>
      </c>
      <c r="F551" s="2">
        <v>46242</v>
      </c>
      <c r="G551" s="3">
        <v>29</v>
      </c>
      <c r="H551" s="2">
        <v>46276</v>
      </c>
      <c r="I551" s="4">
        <v>46284</v>
      </c>
      <c r="J551" s="3">
        <f>COUNTIFS('OOS Events'!$C:$C,B551,'OOS Events'!$D:$D,C551,'OOS Events'!$E:$E,"&gt;="&amp;D551-90,'OOS Events'!$E:$E,"&lt;"&amp;D551)</f>
        <v>0</v>
      </c>
      <c r="K551" s="3">
        <f>COUNTIF('OOS Events'!$B:$B,A551)</f>
        <v>0</v>
      </c>
      <c r="L551" s="3">
        <v>0</v>
      </c>
      <c r="M551" s="3">
        <v>35</v>
      </c>
      <c r="N551" t="s">
        <v>35</v>
      </c>
    </row>
    <row r="552" spans="1:14" ht="15" customHeight="1">
      <c r="A552" t="s">
        <v>627</v>
      </c>
      <c r="B552" t="s">
        <v>273</v>
      </c>
      <c r="C552" s="8" t="s">
        <v>24</v>
      </c>
      <c r="D552" s="9" t="s">
        <v>25</v>
      </c>
      <c r="E552" t="s">
        <v>20</v>
      </c>
      <c r="F552" s="2">
        <v>46242</v>
      </c>
      <c r="G552" s="3">
        <v>22</v>
      </c>
      <c r="H552" s="2">
        <v>46261</v>
      </c>
      <c r="I552" s="4">
        <v>46263</v>
      </c>
      <c r="J552" s="3">
        <f>COUNTIFS('OOS Events'!$C:$C,B552,'OOS Events'!$D:$D,C552,'OOS Events'!$E:$E,"&gt;="&amp;D552-90,'OOS Events'!$E:$E,"&lt;"&amp;D552)</f>
        <v>0</v>
      </c>
      <c r="K552" s="3">
        <f>COUNTIF('OOS Events'!$B:$B,A552)</f>
        <v>0</v>
      </c>
      <c r="L552" s="3">
        <v>0</v>
      </c>
      <c r="M552" s="3">
        <v>18</v>
      </c>
      <c r="N552" t="s">
        <v>40</v>
      </c>
    </row>
    <row r="553" spans="1:14" ht="15" customHeight="1">
      <c r="A553" t="s">
        <v>628</v>
      </c>
      <c r="B553" t="s">
        <v>23</v>
      </c>
      <c r="C553" s="8" t="s">
        <v>24</v>
      </c>
      <c r="D553" s="9" t="s">
        <v>25</v>
      </c>
      <c r="E553" t="s">
        <v>60</v>
      </c>
      <c r="F553" s="2">
        <v>46243</v>
      </c>
      <c r="G553" s="3">
        <v>26</v>
      </c>
      <c r="H553" s="2">
        <v>46265</v>
      </c>
      <c r="I553" s="4">
        <v>46270</v>
      </c>
      <c r="J553" s="3">
        <f>COUNTIFS('OOS Events'!$C:$C,B553,'OOS Events'!$D:$D,C553,'OOS Events'!$E:$E,"&gt;="&amp;D553-90,'OOS Events'!$E:$E,"&lt;"&amp;D553)</f>
        <v>0</v>
      </c>
      <c r="K553" s="3">
        <f>COUNTIF('OOS Events'!$B:$B,A553)</f>
        <v>1</v>
      </c>
      <c r="L553" s="3">
        <v>0</v>
      </c>
      <c r="M553" s="3">
        <v>21</v>
      </c>
      <c r="N553" t="s">
        <v>44</v>
      </c>
    </row>
    <row r="554" spans="1:14" ht="15" customHeight="1">
      <c r="A554" t="s">
        <v>629</v>
      </c>
      <c r="B554" t="s">
        <v>29</v>
      </c>
      <c r="C554" s="8" t="s">
        <v>24</v>
      </c>
      <c r="D554" s="9" t="s">
        <v>25</v>
      </c>
      <c r="E554" t="s">
        <v>60</v>
      </c>
      <c r="F554" s="2">
        <v>46245</v>
      </c>
      <c r="G554" s="3">
        <v>29</v>
      </c>
      <c r="H554" s="2">
        <v>46274</v>
      </c>
      <c r="I554" s="2">
        <v>46273</v>
      </c>
      <c r="J554" s="3">
        <f>COUNTIFS('OOS Events'!$C:$C,B554,'OOS Events'!$D:$D,C554,'OOS Events'!$E:$E,"&gt;="&amp;D554-90,'OOS Events'!$E:$E,"&lt;"&amp;D554)</f>
        <v>0</v>
      </c>
      <c r="K554" s="3">
        <f>COUNTIF('OOS Events'!$B:$B,A554)</f>
        <v>0</v>
      </c>
      <c r="L554" s="3">
        <v>1</v>
      </c>
      <c r="M554" s="3">
        <v>9</v>
      </c>
      <c r="N554" t="s">
        <v>47</v>
      </c>
    </row>
    <row r="555" spans="1:14" ht="15" customHeight="1">
      <c r="A555" t="s">
        <v>630</v>
      </c>
      <c r="B555" t="s">
        <v>32</v>
      </c>
      <c r="C555" s="8" t="s">
        <v>33</v>
      </c>
      <c r="D555" s="9" t="s">
        <v>19</v>
      </c>
      <c r="E555" t="s">
        <v>20</v>
      </c>
      <c r="F555" s="2">
        <v>46246</v>
      </c>
      <c r="G555" s="3">
        <v>19</v>
      </c>
      <c r="H555" s="2">
        <v>46258</v>
      </c>
      <c r="I555" s="4">
        <v>46261</v>
      </c>
      <c r="J555" s="3">
        <f>COUNTIFS('OOS Events'!$C:$C,B555,'OOS Events'!$D:$D,C555,'OOS Events'!$E:$E,"&gt;="&amp;D555-90,'OOS Events'!$E:$E,"&lt;"&amp;D555)</f>
        <v>0</v>
      </c>
      <c r="K555" s="3">
        <f>COUNTIF('OOS Events'!$B:$B,A555)</f>
        <v>0</v>
      </c>
      <c r="L555" s="3">
        <v>0</v>
      </c>
      <c r="M555" s="3">
        <v>35</v>
      </c>
      <c r="N555" t="s">
        <v>21</v>
      </c>
    </row>
    <row r="556" spans="1:14" ht="15" customHeight="1">
      <c r="A556" t="s">
        <v>631</v>
      </c>
      <c r="B556" t="s">
        <v>37</v>
      </c>
      <c r="C556" s="8" t="s">
        <v>38</v>
      </c>
      <c r="D556" s="9" t="s">
        <v>39</v>
      </c>
      <c r="E556" t="s">
        <v>26</v>
      </c>
      <c r="F556" s="2">
        <v>46246</v>
      </c>
      <c r="G556" s="3">
        <v>16</v>
      </c>
      <c r="H556" s="2">
        <v>46282</v>
      </c>
      <c r="I556" s="4">
        <v>46287</v>
      </c>
      <c r="J556" s="3">
        <f>COUNTIFS('OOS Events'!$C:$C,B556,'OOS Events'!$D:$D,C556,'OOS Events'!$E:$E,"&gt;="&amp;D556-90,'OOS Events'!$E:$E,"&lt;"&amp;D556)</f>
        <v>0</v>
      </c>
      <c r="K556" s="3">
        <f>COUNTIF('OOS Events'!$B:$B,A556)</f>
        <v>0</v>
      </c>
      <c r="L556" s="3">
        <v>2</v>
      </c>
      <c r="M556" s="3">
        <v>38</v>
      </c>
      <c r="N556" t="s">
        <v>27</v>
      </c>
    </row>
    <row r="557" spans="1:14" ht="15" customHeight="1">
      <c r="A557" t="s">
        <v>632</v>
      </c>
      <c r="B557" t="s">
        <v>42</v>
      </c>
      <c r="C557" s="8" t="s">
        <v>24</v>
      </c>
      <c r="D557" s="9" t="s">
        <v>25</v>
      </c>
      <c r="E557" t="s">
        <v>43</v>
      </c>
      <c r="F557" s="2">
        <v>46247</v>
      </c>
      <c r="G557" s="3">
        <v>22</v>
      </c>
      <c r="H557" s="2">
        <v>46265</v>
      </c>
      <c r="I557" s="4">
        <v>46266</v>
      </c>
      <c r="J557" s="3">
        <f>COUNTIFS('OOS Events'!$C:$C,B557,'OOS Events'!$D:$D,C557,'OOS Events'!$E:$E,"&gt;="&amp;D557-90,'OOS Events'!$E:$E,"&lt;"&amp;D557)</f>
        <v>0</v>
      </c>
      <c r="K557" s="3">
        <f>COUNTIF('OOS Events'!$B:$B,A557)</f>
        <v>0</v>
      </c>
      <c r="L557" s="3">
        <v>0</v>
      </c>
      <c r="M557" s="3">
        <v>21</v>
      </c>
      <c r="N557" t="s">
        <v>40</v>
      </c>
    </row>
    <row r="558" spans="1:14" ht="15" customHeight="1">
      <c r="A558" t="s">
        <v>633</v>
      </c>
      <c r="B558" t="s">
        <v>46</v>
      </c>
      <c r="C558" s="8" t="s">
        <v>24</v>
      </c>
      <c r="D558" s="9" t="s">
        <v>25</v>
      </c>
      <c r="E558" t="s">
        <v>34</v>
      </c>
      <c r="F558" s="2">
        <v>46249</v>
      </c>
      <c r="G558" s="3">
        <v>10</v>
      </c>
      <c r="H558" s="2">
        <v>46281</v>
      </c>
      <c r="I558" s="4">
        <v>46286</v>
      </c>
      <c r="J558" s="3">
        <f>COUNTIFS('OOS Events'!$C:$C,B558,'OOS Events'!$D:$D,C558,'OOS Events'!$E:$E,"&gt;="&amp;D558-90,'OOS Events'!$E:$E,"&lt;"&amp;D558)</f>
        <v>0</v>
      </c>
      <c r="K558" s="3">
        <f>COUNTIF('OOS Events'!$B:$B,A558)</f>
        <v>0</v>
      </c>
      <c r="L558" s="3">
        <v>0</v>
      </c>
      <c r="M558" s="3">
        <v>36</v>
      </c>
      <c r="N558" t="s">
        <v>35</v>
      </c>
    </row>
    <row r="559" spans="1:14" ht="15" customHeight="1">
      <c r="A559" t="s">
        <v>634</v>
      </c>
      <c r="B559" t="s">
        <v>51</v>
      </c>
      <c r="C559" s="8" t="s">
        <v>38</v>
      </c>
      <c r="D559" s="9" t="s">
        <v>39</v>
      </c>
      <c r="E559" t="s">
        <v>43</v>
      </c>
      <c r="F559" s="2">
        <v>46250</v>
      </c>
      <c r="G559" s="3">
        <v>22</v>
      </c>
      <c r="H559" s="2">
        <v>46274</v>
      </c>
      <c r="I559" s="4">
        <v>46275</v>
      </c>
      <c r="J559" s="3">
        <f>COUNTIFS('OOS Events'!$C:$C,B559,'OOS Events'!$D:$D,C559,'OOS Events'!$E:$E,"&gt;="&amp;D559-90,'OOS Events'!$E:$E,"&lt;"&amp;D559)</f>
        <v>0</v>
      </c>
      <c r="K559" s="3">
        <f>COUNTIF('OOS Events'!$B:$B,A559)</f>
        <v>0</v>
      </c>
      <c r="L559" s="3">
        <v>2</v>
      </c>
      <c r="M559" s="3">
        <v>28</v>
      </c>
      <c r="N559" t="s">
        <v>44</v>
      </c>
    </row>
    <row r="560" spans="1:14" ht="15" customHeight="1">
      <c r="A560" t="s">
        <v>635</v>
      </c>
      <c r="B560" t="s">
        <v>53</v>
      </c>
      <c r="C560" s="8" t="s">
        <v>24</v>
      </c>
      <c r="D560" s="9" t="s">
        <v>25</v>
      </c>
      <c r="E560" t="s">
        <v>60</v>
      </c>
      <c r="F560" s="2">
        <v>46251</v>
      </c>
      <c r="G560" s="3">
        <v>31</v>
      </c>
      <c r="H560" s="2">
        <v>46288</v>
      </c>
      <c r="I560" s="2">
        <v>46288</v>
      </c>
      <c r="J560" s="3">
        <f>COUNTIFS('OOS Events'!$C:$C,B560,'OOS Events'!$D:$D,C560,'OOS Events'!$E:$E,"&gt;="&amp;D560-90,'OOS Events'!$E:$E,"&lt;"&amp;D560)</f>
        <v>0</v>
      </c>
      <c r="K560" s="3">
        <f>COUNTIF('OOS Events'!$B:$B,A560)</f>
        <v>0</v>
      </c>
      <c r="L560" s="3">
        <v>1</v>
      </c>
      <c r="M560" s="3">
        <v>43</v>
      </c>
      <c r="N560" t="s">
        <v>27</v>
      </c>
    </row>
    <row r="561" spans="1:14" ht="15" customHeight="1">
      <c r="A561" t="s">
        <v>636</v>
      </c>
      <c r="B561" t="s">
        <v>55</v>
      </c>
      <c r="C561" s="8" t="s">
        <v>33</v>
      </c>
      <c r="D561" s="9" t="s">
        <v>19</v>
      </c>
      <c r="E561" t="s">
        <v>30</v>
      </c>
      <c r="F561" s="2">
        <v>46253</v>
      </c>
      <c r="G561" s="3">
        <v>19</v>
      </c>
      <c r="H561" s="2">
        <v>46270</v>
      </c>
      <c r="I561" s="2">
        <v>46270</v>
      </c>
      <c r="J561" s="3">
        <f>COUNTIFS('OOS Events'!$C:$C,B561,'OOS Events'!$D:$D,C561,'OOS Events'!$E:$E,"&gt;="&amp;D561-90,'OOS Events'!$E:$E,"&lt;"&amp;D561)</f>
        <v>0</v>
      </c>
      <c r="K561" s="3">
        <f>COUNTIF('OOS Events'!$B:$B,A561)</f>
        <v>1</v>
      </c>
      <c r="L561" s="3">
        <v>1</v>
      </c>
      <c r="M561" s="3">
        <v>18</v>
      </c>
      <c r="N561" t="s">
        <v>21</v>
      </c>
    </row>
    <row r="562" spans="1:14" ht="15" customHeight="1">
      <c r="A562" t="s">
        <v>637</v>
      </c>
      <c r="B562" t="s">
        <v>59</v>
      </c>
      <c r="C562" s="8" t="s">
        <v>24</v>
      </c>
      <c r="D562" s="9" t="s">
        <v>25</v>
      </c>
      <c r="E562" t="s">
        <v>30</v>
      </c>
      <c r="F562" s="2">
        <v>46254</v>
      </c>
      <c r="G562" s="3">
        <v>19</v>
      </c>
      <c r="H562" s="2">
        <v>46272</v>
      </c>
      <c r="I562" s="2">
        <v>46269</v>
      </c>
      <c r="J562" s="3">
        <f>COUNTIFS('OOS Events'!$C:$C,B562,'OOS Events'!$D:$D,C562,'OOS Events'!$E:$E,"&gt;="&amp;D562-90,'OOS Events'!$E:$E,"&lt;"&amp;D562)</f>
        <v>0</v>
      </c>
      <c r="K562" s="3">
        <f>COUNTIF('OOS Events'!$B:$B,A562)</f>
        <v>0</v>
      </c>
      <c r="L562" s="3">
        <v>0</v>
      </c>
      <c r="M562" s="3">
        <v>30</v>
      </c>
      <c r="N562" t="s">
        <v>40</v>
      </c>
    </row>
    <row r="563" spans="1:14" ht="15" customHeight="1">
      <c r="A563" t="s">
        <v>638</v>
      </c>
      <c r="B563" t="s">
        <v>62</v>
      </c>
      <c r="C563" s="8" t="s">
        <v>33</v>
      </c>
      <c r="D563" s="9" t="s">
        <v>19</v>
      </c>
      <c r="E563" t="s">
        <v>34</v>
      </c>
      <c r="F563" s="2">
        <v>46255</v>
      </c>
      <c r="G563" s="3">
        <v>8</v>
      </c>
      <c r="H563" s="2">
        <v>46279</v>
      </c>
      <c r="I563" s="2">
        <v>46279</v>
      </c>
      <c r="J563" s="3">
        <f>COUNTIFS('OOS Events'!$C:$C,B563,'OOS Events'!$D:$D,C563,'OOS Events'!$E:$E,"&gt;="&amp;D563-90,'OOS Events'!$E:$E,"&lt;"&amp;D563)</f>
        <v>0</v>
      </c>
      <c r="K563" s="3">
        <f>COUNTIF('OOS Events'!$B:$B,A563)</f>
        <v>0</v>
      </c>
      <c r="L563" s="3">
        <v>0</v>
      </c>
      <c r="M563" s="3">
        <v>12</v>
      </c>
      <c r="N563" t="s">
        <v>44</v>
      </c>
    </row>
    <row r="564" spans="1:14" ht="15" customHeight="1">
      <c r="A564" t="s">
        <v>639</v>
      </c>
      <c r="B564" t="s">
        <v>64</v>
      </c>
      <c r="C564" s="8" t="s">
        <v>24</v>
      </c>
      <c r="D564" s="9" t="s">
        <v>25</v>
      </c>
      <c r="E564" t="s">
        <v>43</v>
      </c>
      <c r="F564" s="2">
        <v>46257</v>
      </c>
      <c r="G564" s="3">
        <v>22</v>
      </c>
      <c r="H564" s="2">
        <v>46287</v>
      </c>
      <c r="I564" s="4">
        <v>46292</v>
      </c>
      <c r="J564" s="3">
        <f>COUNTIFS('OOS Events'!$C:$C,B564,'OOS Events'!$D:$D,C564,'OOS Events'!$E:$E,"&gt;="&amp;D564-90,'OOS Events'!$E:$E,"&lt;"&amp;D564)</f>
        <v>0</v>
      </c>
      <c r="K564" s="3">
        <f>COUNTIF('OOS Events'!$B:$B,A564)</f>
        <v>0</v>
      </c>
      <c r="L564" s="3">
        <v>0</v>
      </c>
      <c r="M564" s="3">
        <v>29</v>
      </c>
      <c r="N564" t="s">
        <v>47</v>
      </c>
    </row>
    <row r="565" spans="1:14" ht="15" customHeight="1">
      <c r="A565" t="s">
        <v>640</v>
      </c>
      <c r="B565" t="s">
        <v>66</v>
      </c>
      <c r="C565" s="8" t="s">
        <v>24</v>
      </c>
      <c r="D565" s="9" t="s">
        <v>25</v>
      </c>
      <c r="E565" t="s">
        <v>34</v>
      </c>
      <c r="F565" s="2">
        <v>46258</v>
      </c>
      <c r="G565" s="3">
        <v>15</v>
      </c>
      <c r="H565" s="2">
        <v>46294</v>
      </c>
      <c r="I565" s="4">
        <v>46299</v>
      </c>
      <c r="J565" s="3">
        <f>COUNTIFS('OOS Events'!$C:$C,B565,'OOS Events'!$D:$D,C565,'OOS Events'!$E:$E,"&gt;="&amp;D565-90,'OOS Events'!$E:$E,"&lt;"&amp;D565)</f>
        <v>0</v>
      </c>
      <c r="K565" s="3">
        <f>COUNTIF('OOS Events'!$B:$B,A565)</f>
        <v>0</v>
      </c>
      <c r="L565" s="3">
        <v>1</v>
      </c>
      <c r="M565" s="3">
        <v>46</v>
      </c>
      <c r="N565" t="s">
        <v>27</v>
      </c>
    </row>
    <row r="566" spans="1:14" ht="15" customHeight="1">
      <c r="A566" t="s">
        <v>641</v>
      </c>
      <c r="B566" t="s">
        <v>68</v>
      </c>
      <c r="C566" s="8" t="s">
        <v>24</v>
      </c>
      <c r="D566" s="9" t="s">
        <v>25</v>
      </c>
      <c r="E566" t="s">
        <v>30</v>
      </c>
      <c r="F566" s="2">
        <v>46259</v>
      </c>
      <c r="G566" s="3">
        <v>15</v>
      </c>
      <c r="H566" s="2">
        <v>46283</v>
      </c>
      <c r="I566" s="4">
        <v>46284</v>
      </c>
      <c r="J566" s="3">
        <f>COUNTIFS('OOS Events'!$C:$C,B566,'OOS Events'!$D:$D,C566,'OOS Events'!$E:$E,"&gt;="&amp;D566-90,'OOS Events'!$E:$E,"&lt;"&amp;D566)</f>
        <v>0</v>
      </c>
      <c r="K566" s="3">
        <f>COUNTIF('OOS Events'!$B:$B,A566)</f>
        <v>1</v>
      </c>
      <c r="L566" s="3">
        <v>1</v>
      </c>
      <c r="M566" s="3">
        <v>9</v>
      </c>
      <c r="N566" t="s">
        <v>40</v>
      </c>
    </row>
    <row r="567" spans="1:14" ht="15" customHeight="1">
      <c r="A567" t="s">
        <v>642</v>
      </c>
      <c r="B567" t="s">
        <v>74</v>
      </c>
      <c r="C567" s="8" t="s">
        <v>75</v>
      </c>
      <c r="D567" s="9" t="s">
        <v>72</v>
      </c>
      <c r="E567" t="s">
        <v>30</v>
      </c>
      <c r="F567" s="2">
        <v>46262</v>
      </c>
      <c r="G567" s="3">
        <v>17</v>
      </c>
      <c r="H567" s="2">
        <v>46286</v>
      </c>
      <c r="I567" s="4">
        <v>46287</v>
      </c>
      <c r="J567" s="3">
        <f>COUNTIFS('OOS Events'!$C:$C,B567,'OOS Events'!$D:$D,C567,'OOS Events'!$E:$E,"&gt;="&amp;D567-90,'OOS Events'!$E:$E,"&lt;"&amp;D567)</f>
        <v>0</v>
      </c>
      <c r="K567" s="3">
        <f>COUNTIF('OOS Events'!$B:$B,A567)</f>
        <v>0</v>
      </c>
      <c r="L567" s="3">
        <v>2</v>
      </c>
      <c r="M567" s="3">
        <v>12</v>
      </c>
      <c r="N567" t="s">
        <v>44</v>
      </c>
    </row>
    <row r="568" spans="1:14" ht="15" customHeight="1">
      <c r="A568" t="s">
        <v>643</v>
      </c>
      <c r="B568" t="s">
        <v>77</v>
      </c>
      <c r="C568" s="8" t="s">
        <v>33</v>
      </c>
      <c r="D568" s="9" t="s">
        <v>19</v>
      </c>
      <c r="E568" t="s">
        <v>43</v>
      </c>
      <c r="F568" s="2">
        <v>46263</v>
      </c>
      <c r="G568" s="3">
        <v>18</v>
      </c>
      <c r="H568" s="2">
        <v>46297</v>
      </c>
      <c r="I568" s="2">
        <v>46297</v>
      </c>
      <c r="J568" s="3">
        <f>COUNTIFS('OOS Events'!$C:$C,B568,'OOS Events'!$D:$D,C568,'OOS Events'!$E:$E,"&gt;="&amp;D568-90,'OOS Events'!$E:$E,"&lt;"&amp;D568)</f>
        <v>0</v>
      </c>
      <c r="K568" s="3">
        <f>COUNTIF('OOS Events'!$B:$B,A568)</f>
        <v>1</v>
      </c>
      <c r="L568" s="3">
        <v>1</v>
      </c>
      <c r="M568" s="3">
        <v>26</v>
      </c>
      <c r="N568" t="s">
        <v>27</v>
      </c>
    </row>
    <row r="569" spans="1:14" ht="15" customHeight="1">
      <c r="A569" t="s">
        <v>644</v>
      </c>
      <c r="B569" t="s">
        <v>263</v>
      </c>
      <c r="C569" s="8" t="s">
        <v>33</v>
      </c>
      <c r="D569" s="9" t="s">
        <v>19</v>
      </c>
      <c r="E569" t="s">
        <v>34</v>
      </c>
      <c r="F569" s="2">
        <v>46264</v>
      </c>
      <c r="G569" s="3">
        <v>17</v>
      </c>
      <c r="H569" s="2">
        <v>46301</v>
      </c>
      <c r="I569" s="2">
        <v>46301</v>
      </c>
      <c r="J569" s="3">
        <f>COUNTIFS('OOS Events'!$C:$C,B569,'OOS Events'!$D:$D,C569,'OOS Events'!$E:$E,"&gt;="&amp;D569-90,'OOS Events'!$E:$E,"&lt;"&amp;D569)</f>
        <v>0</v>
      </c>
      <c r="K569" s="3">
        <f>COUNTIF('OOS Events'!$B:$B,A569)</f>
        <v>0</v>
      </c>
      <c r="L569" s="3">
        <v>0</v>
      </c>
      <c r="M569" s="3">
        <v>45</v>
      </c>
      <c r="N569" t="s">
        <v>35</v>
      </c>
    </row>
    <row r="570" spans="1:14" ht="15" customHeight="1">
      <c r="A570" t="s">
        <v>645</v>
      </c>
      <c r="B570" t="s">
        <v>79</v>
      </c>
      <c r="C570" s="8" t="s">
        <v>33</v>
      </c>
      <c r="D570" s="9" t="s">
        <v>19</v>
      </c>
      <c r="E570" t="s">
        <v>20</v>
      </c>
      <c r="F570" s="2">
        <v>46266</v>
      </c>
      <c r="G570" s="3">
        <v>18</v>
      </c>
      <c r="H570" s="2">
        <v>46292</v>
      </c>
      <c r="I570" s="4">
        <v>46295</v>
      </c>
      <c r="J570" s="3">
        <f>COUNTIFS('OOS Events'!$C:$C,B570,'OOS Events'!$D:$D,C570,'OOS Events'!$E:$E,"&gt;="&amp;D570-90,'OOS Events'!$E:$E,"&lt;"&amp;D570)</f>
        <v>0</v>
      </c>
      <c r="K570" s="3">
        <f>COUNTIF('OOS Events'!$B:$B,A570)</f>
        <v>0</v>
      </c>
      <c r="L570" s="3">
        <v>0</v>
      </c>
      <c r="M570" s="3">
        <v>11</v>
      </c>
      <c r="N570" t="s">
        <v>40</v>
      </c>
    </row>
    <row r="571" spans="1:14" ht="15" customHeight="1">
      <c r="A571" t="s">
        <v>646</v>
      </c>
      <c r="B571" t="s">
        <v>81</v>
      </c>
      <c r="C571" s="8" t="s">
        <v>71</v>
      </c>
      <c r="D571" s="9" t="s">
        <v>72</v>
      </c>
      <c r="E571" t="s">
        <v>26</v>
      </c>
      <c r="F571" s="2">
        <v>46267</v>
      </c>
      <c r="G571" s="3">
        <v>17</v>
      </c>
      <c r="H571" s="2">
        <v>46291</v>
      </c>
      <c r="I571" s="2">
        <v>46291</v>
      </c>
      <c r="J571" s="3">
        <f>COUNTIFS('OOS Events'!$C:$C,B571,'OOS Events'!$D:$D,C571,'OOS Events'!$E:$E,"&gt;="&amp;D571-90,'OOS Events'!$E:$E,"&lt;"&amp;D571)</f>
        <v>0</v>
      </c>
      <c r="K571" s="3">
        <f>COUNTIF('OOS Events'!$B:$B,A571)</f>
        <v>0</v>
      </c>
      <c r="L571" s="3">
        <v>0</v>
      </c>
      <c r="M571" s="3">
        <v>25</v>
      </c>
      <c r="N571" t="s">
        <v>44</v>
      </c>
    </row>
    <row r="572" spans="1:14" ht="15" customHeight="1">
      <c r="A572" t="s">
        <v>647</v>
      </c>
      <c r="B572" t="s">
        <v>295</v>
      </c>
      <c r="C572" s="8" t="s">
        <v>33</v>
      </c>
      <c r="D572" s="9" t="s">
        <v>19</v>
      </c>
      <c r="E572" t="s">
        <v>30</v>
      </c>
      <c r="F572" s="2">
        <v>46268</v>
      </c>
      <c r="G572" s="3">
        <v>21</v>
      </c>
      <c r="H572" s="2">
        <v>46285</v>
      </c>
      <c r="I572" s="4">
        <v>46286</v>
      </c>
      <c r="J572" s="3">
        <f>COUNTIFS('OOS Events'!$C:$C,B572,'OOS Events'!$D:$D,C572,'OOS Events'!$E:$E,"&gt;="&amp;D572-90,'OOS Events'!$E:$E,"&lt;"&amp;D572)</f>
        <v>0</v>
      </c>
      <c r="K572" s="3">
        <f>COUNTIF('OOS Events'!$B:$B,A572)</f>
        <v>0</v>
      </c>
      <c r="L572" s="3">
        <v>0</v>
      </c>
      <c r="M572" s="3">
        <v>26</v>
      </c>
      <c r="N572" t="s">
        <v>21</v>
      </c>
    </row>
    <row r="573" spans="1:14" ht="15" customHeight="1">
      <c r="A573" t="s">
        <v>648</v>
      </c>
      <c r="B573" t="s">
        <v>83</v>
      </c>
      <c r="C573" s="8" t="s">
        <v>33</v>
      </c>
      <c r="D573" s="9" t="s">
        <v>19</v>
      </c>
      <c r="E573" t="s">
        <v>26</v>
      </c>
      <c r="F573" s="2">
        <v>46270</v>
      </c>
      <c r="G573" s="3">
        <v>21</v>
      </c>
      <c r="H573" s="2">
        <v>46312</v>
      </c>
      <c r="I573" s="4">
        <v>46317</v>
      </c>
      <c r="J573" s="3">
        <f>COUNTIFS('OOS Events'!$C:$C,B573,'OOS Events'!$D:$D,C573,'OOS Events'!$E:$E,"&gt;="&amp;D573-90,'OOS Events'!$E:$E,"&lt;"&amp;D573)</f>
        <v>0</v>
      </c>
      <c r="K573" s="3">
        <f>COUNTIF('OOS Events'!$B:$B,A573)</f>
        <v>0</v>
      </c>
      <c r="L573" s="3">
        <v>0</v>
      </c>
      <c r="M573" s="3">
        <v>24</v>
      </c>
      <c r="N573" t="s">
        <v>27</v>
      </c>
    </row>
    <row r="574" spans="1:14" ht="15" customHeight="1">
      <c r="A574" t="s">
        <v>649</v>
      </c>
      <c r="B574" t="s">
        <v>85</v>
      </c>
      <c r="C574" s="8" t="s">
        <v>71</v>
      </c>
      <c r="D574" s="9" t="s">
        <v>72</v>
      </c>
      <c r="E574" t="s">
        <v>43</v>
      </c>
      <c r="F574" s="2">
        <v>46271</v>
      </c>
      <c r="G574" s="3">
        <v>22</v>
      </c>
      <c r="H574" s="2">
        <v>46293</v>
      </c>
      <c r="I574" s="4">
        <v>46294</v>
      </c>
      <c r="J574" s="3">
        <f>COUNTIFS('OOS Events'!$C:$C,B574,'OOS Events'!$D:$D,C574,'OOS Events'!$E:$E,"&gt;="&amp;D574-90,'OOS Events'!$E:$E,"&lt;"&amp;D574)</f>
        <v>0</v>
      </c>
      <c r="K574" s="3">
        <f>COUNTIF('OOS Events'!$B:$B,A574)</f>
        <v>0</v>
      </c>
      <c r="L574" s="3">
        <v>1</v>
      </c>
      <c r="M574" s="3">
        <v>25</v>
      </c>
      <c r="N574" t="s">
        <v>40</v>
      </c>
    </row>
    <row r="575" spans="1:14" ht="15" customHeight="1">
      <c r="A575" t="s">
        <v>650</v>
      </c>
      <c r="B575" t="s">
        <v>87</v>
      </c>
      <c r="C575" s="8" t="s">
        <v>71</v>
      </c>
      <c r="D575" s="9" t="s">
        <v>72</v>
      </c>
      <c r="E575" t="s">
        <v>20</v>
      </c>
      <c r="F575" s="2">
        <v>46272</v>
      </c>
      <c r="G575" s="3">
        <v>17</v>
      </c>
      <c r="H575" s="2">
        <v>46304</v>
      </c>
      <c r="I575" s="4">
        <v>46309</v>
      </c>
      <c r="J575" s="3">
        <f>COUNTIFS('OOS Events'!$C:$C,B575,'OOS Events'!$D:$D,C575,'OOS Events'!$E:$E,"&gt;="&amp;D575-90,'OOS Events'!$E:$E,"&lt;"&amp;D575)</f>
        <v>0</v>
      </c>
      <c r="K575" s="3">
        <f>COUNTIF('OOS Events'!$B:$B,A575)</f>
        <v>2</v>
      </c>
      <c r="L575" s="3">
        <v>2</v>
      </c>
      <c r="M575" s="3">
        <v>22</v>
      </c>
      <c r="N575" t="s">
        <v>47</v>
      </c>
    </row>
    <row r="576" spans="1:14" ht="15" customHeight="1">
      <c r="A576" t="s">
        <v>651</v>
      </c>
      <c r="B576" t="s">
        <v>89</v>
      </c>
      <c r="C576" s="8" t="s">
        <v>24</v>
      </c>
      <c r="D576" s="9" t="s">
        <v>25</v>
      </c>
      <c r="E576" t="s">
        <v>34</v>
      </c>
      <c r="F576" s="2">
        <v>46274</v>
      </c>
      <c r="G576" s="3">
        <v>17</v>
      </c>
      <c r="H576" s="2">
        <v>46303</v>
      </c>
      <c r="I576" s="2">
        <v>46303</v>
      </c>
      <c r="J576" s="3">
        <f>COUNTIFS('OOS Events'!$C:$C,B576,'OOS Events'!$D:$D,C576,'OOS Events'!$E:$E,"&gt;="&amp;D576-90,'OOS Events'!$E:$E,"&lt;"&amp;D576)</f>
        <v>0</v>
      </c>
      <c r="K576" s="3">
        <f>COUNTIF('OOS Events'!$B:$B,A576)</f>
        <v>0</v>
      </c>
      <c r="L576" s="3">
        <v>2</v>
      </c>
      <c r="M576" s="3">
        <v>29</v>
      </c>
      <c r="N576" t="s">
        <v>44</v>
      </c>
    </row>
    <row r="577" spans="1:14" ht="15" customHeight="1">
      <c r="A577" t="s">
        <v>652</v>
      </c>
      <c r="B577" t="s">
        <v>91</v>
      </c>
      <c r="C577" s="8" t="s">
        <v>24</v>
      </c>
      <c r="D577" s="9" t="s">
        <v>25</v>
      </c>
      <c r="E577" t="s">
        <v>60</v>
      </c>
      <c r="F577" s="2">
        <v>46275</v>
      </c>
      <c r="G577" s="3">
        <v>19</v>
      </c>
      <c r="H577" s="2">
        <v>46311</v>
      </c>
      <c r="I577" s="4">
        <v>46312</v>
      </c>
      <c r="J577" s="3">
        <f>COUNTIFS('OOS Events'!$C:$C,B577,'OOS Events'!$D:$D,C577,'OOS Events'!$E:$E,"&gt;="&amp;D577-90,'OOS Events'!$E:$E,"&lt;"&amp;D577)</f>
        <v>0</v>
      </c>
      <c r="K577" s="3">
        <f>COUNTIF('OOS Events'!$B:$B,A577)</f>
        <v>0</v>
      </c>
      <c r="L577" s="3">
        <v>3</v>
      </c>
      <c r="M577" s="3">
        <v>22</v>
      </c>
      <c r="N577" t="s">
        <v>27</v>
      </c>
    </row>
    <row r="578" spans="1:14" ht="15" customHeight="1">
      <c r="A578" t="s">
        <v>653</v>
      </c>
      <c r="B578" t="s">
        <v>273</v>
      </c>
      <c r="C578" s="8" t="s">
        <v>24</v>
      </c>
      <c r="D578" s="9" t="s">
        <v>25</v>
      </c>
      <c r="E578" t="s">
        <v>20</v>
      </c>
      <c r="F578" s="2">
        <v>46275</v>
      </c>
      <c r="G578" s="3">
        <v>19</v>
      </c>
      <c r="H578" s="2">
        <v>46291</v>
      </c>
      <c r="I578" s="2">
        <v>46288</v>
      </c>
      <c r="J578" s="3">
        <f>COUNTIFS('OOS Events'!$C:$C,B578,'OOS Events'!$D:$D,C578,'OOS Events'!$E:$E,"&gt;="&amp;D578-90,'OOS Events'!$E:$E,"&lt;"&amp;D578)</f>
        <v>0</v>
      </c>
      <c r="K578" s="3">
        <f>COUNTIF('OOS Events'!$B:$B,A578)</f>
        <v>1</v>
      </c>
      <c r="L578" s="3">
        <v>2</v>
      </c>
      <c r="M578" s="3">
        <v>36</v>
      </c>
      <c r="N578" t="s">
        <v>21</v>
      </c>
    </row>
    <row r="579" spans="1:14" ht="15" customHeight="1">
      <c r="A579" t="s">
        <v>654</v>
      </c>
      <c r="B579" t="s">
        <v>23</v>
      </c>
      <c r="C579" s="8" t="s">
        <v>24</v>
      </c>
      <c r="D579" s="9" t="s">
        <v>25</v>
      </c>
      <c r="E579" t="s">
        <v>26</v>
      </c>
      <c r="F579" s="2">
        <v>46276</v>
      </c>
      <c r="G579" s="3">
        <v>20</v>
      </c>
      <c r="H579" s="2">
        <v>46305</v>
      </c>
      <c r="I579" s="4">
        <v>46310</v>
      </c>
      <c r="J579" s="3">
        <f>COUNTIFS('OOS Events'!$C:$C,B579,'OOS Events'!$D:$D,C579,'OOS Events'!$E:$E,"&gt;="&amp;D579-90,'OOS Events'!$E:$E,"&lt;"&amp;D579)</f>
        <v>0</v>
      </c>
      <c r="K579" s="3">
        <f>COUNTIF('OOS Events'!$B:$B,A579)</f>
        <v>0</v>
      </c>
      <c r="L579" s="3">
        <v>1</v>
      </c>
      <c r="M579" s="3">
        <v>39</v>
      </c>
      <c r="N579" t="s">
        <v>35</v>
      </c>
    </row>
    <row r="580" spans="1:14" ht="15" customHeight="1">
      <c r="A580" t="s">
        <v>655</v>
      </c>
      <c r="B580" t="s">
        <v>29</v>
      </c>
      <c r="C580" s="8" t="s">
        <v>24</v>
      </c>
      <c r="D580" s="9" t="s">
        <v>25</v>
      </c>
      <c r="E580" t="s">
        <v>60</v>
      </c>
      <c r="F580" s="2">
        <v>46278</v>
      </c>
      <c r="G580" s="3">
        <v>22</v>
      </c>
      <c r="H580" s="2">
        <v>46303</v>
      </c>
      <c r="I580" s="2">
        <v>46303</v>
      </c>
      <c r="J580" s="3">
        <f>COUNTIFS('OOS Events'!$C:$C,B580,'OOS Events'!$D:$D,C580,'OOS Events'!$E:$E,"&gt;="&amp;D580-90,'OOS Events'!$E:$E,"&lt;"&amp;D580)</f>
        <v>0</v>
      </c>
      <c r="K580" s="3">
        <f>COUNTIF('OOS Events'!$B:$B,A580)</f>
        <v>0</v>
      </c>
      <c r="L580" s="3">
        <v>0</v>
      </c>
      <c r="M580" s="3">
        <v>11</v>
      </c>
      <c r="N580" t="s">
        <v>40</v>
      </c>
    </row>
    <row r="581" spans="1:14" ht="15" customHeight="1">
      <c r="A581" t="s">
        <v>656</v>
      </c>
      <c r="B581" t="s">
        <v>32</v>
      </c>
      <c r="C581" s="8" t="s">
        <v>33</v>
      </c>
      <c r="D581" s="9" t="s">
        <v>19</v>
      </c>
      <c r="E581" t="s">
        <v>34</v>
      </c>
      <c r="F581" s="2">
        <v>46279</v>
      </c>
      <c r="G581" s="3">
        <v>10</v>
      </c>
      <c r="H581" s="2">
        <v>46308</v>
      </c>
      <c r="I581" s="2">
        <v>46308</v>
      </c>
      <c r="J581" s="3">
        <f>COUNTIFS('OOS Events'!$C:$C,B581,'OOS Events'!$D:$D,C581,'OOS Events'!$E:$E,"&gt;="&amp;D581-90,'OOS Events'!$E:$E,"&lt;"&amp;D581)</f>
        <v>0</v>
      </c>
      <c r="K581" s="3">
        <f>COUNTIF('OOS Events'!$B:$B,A581)</f>
        <v>0</v>
      </c>
      <c r="L581" s="3">
        <v>0</v>
      </c>
      <c r="M581" s="3">
        <v>17</v>
      </c>
      <c r="N581" t="s">
        <v>44</v>
      </c>
    </row>
    <row r="582" spans="1:14" ht="15" customHeight="1">
      <c r="A582" t="s">
        <v>657</v>
      </c>
      <c r="B582" t="s">
        <v>37</v>
      </c>
      <c r="C582" s="8" t="s">
        <v>38</v>
      </c>
      <c r="D582" s="9" t="s">
        <v>39</v>
      </c>
      <c r="E582" t="s">
        <v>26</v>
      </c>
      <c r="F582" s="2">
        <v>46279</v>
      </c>
      <c r="G582" s="3">
        <v>24</v>
      </c>
      <c r="H582" s="2">
        <v>46310</v>
      </c>
      <c r="I582" s="4">
        <v>46313</v>
      </c>
      <c r="J582" s="3">
        <f>COUNTIFS('OOS Events'!$C:$C,B582,'OOS Events'!$D:$D,C582,'OOS Events'!$E:$E,"&gt;="&amp;D582-90,'OOS Events'!$E:$E,"&lt;"&amp;D582)</f>
        <v>0</v>
      </c>
      <c r="K582" s="3">
        <f>COUNTIF('OOS Events'!$B:$B,A582)</f>
        <v>0</v>
      </c>
      <c r="L582" s="3">
        <v>1</v>
      </c>
      <c r="M582" s="3">
        <v>29</v>
      </c>
      <c r="N582" t="s">
        <v>47</v>
      </c>
    </row>
    <row r="583" spans="1:14" ht="15" customHeight="1">
      <c r="A583" t="s">
        <v>658</v>
      </c>
      <c r="B583" t="s">
        <v>42</v>
      </c>
      <c r="C583" s="8" t="s">
        <v>24</v>
      </c>
      <c r="D583" s="9" t="s">
        <v>25</v>
      </c>
      <c r="E583" t="s">
        <v>34</v>
      </c>
      <c r="F583" s="2">
        <v>46280</v>
      </c>
      <c r="G583" s="3">
        <v>14</v>
      </c>
      <c r="H583" s="2">
        <v>46299</v>
      </c>
      <c r="I583" s="4">
        <v>46302</v>
      </c>
      <c r="J583" s="3">
        <f>COUNTIFS('OOS Events'!$C:$C,B583,'OOS Events'!$D:$D,C583,'OOS Events'!$E:$E,"&gt;="&amp;D583-90,'OOS Events'!$E:$E,"&lt;"&amp;D583)</f>
        <v>0</v>
      </c>
      <c r="K583" s="3">
        <f>COUNTIF('OOS Events'!$B:$B,A583)</f>
        <v>2</v>
      </c>
      <c r="L583" s="3">
        <v>0</v>
      </c>
      <c r="M583" s="3">
        <v>10</v>
      </c>
      <c r="N583" t="s">
        <v>21</v>
      </c>
    </row>
    <row r="584" spans="1:14" ht="15" customHeight="1">
      <c r="A584" t="s">
        <v>659</v>
      </c>
      <c r="B584" t="s">
        <v>46</v>
      </c>
      <c r="C584" s="8" t="s">
        <v>24</v>
      </c>
      <c r="D584" s="9" t="s">
        <v>25</v>
      </c>
      <c r="E584" t="s">
        <v>34</v>
      </c>
      <c r="F584" s="2">
        <v>46282</v>
      </c>
      <c r="G584" s="3">
        <v>16</v>
      </c>
      <c r="H584" s="2">
        <v>46319</v>
      </c>
      <c r="I584" s="2">
        <v>46317</v>
      </c>
      <c r="J584" s="3">
        <f>COUNTIFS('OOS Events'!$C:$C,B584,'OOS Events'!$D:$D,C584,'OOS Events'!$E:$E,"&gt;="&amp;D584-90,'OOS Events'!$E:$E,"&lt;"&amp;D584)</f>
        <v>0</v>
      </c>
      <c r="K584" s="3">
        <f>COUNTIF('OOS Events'!$B:$B,A584)</f>
        <v>1</v>
      </c>
      <c r="L584" s="3">
        <v>1</v>
      </c>
      <c r="M584" s="3">
        <v>40</v>
      </c>
      <c r="N584" t="s">
        <v>27</v>
      </c>
    </row>
    <row r="585" spans="1:14" ht="15" customHeight="1">
      <c r="A585" t="s">
        <v>660</v>
      </c>
      <c r="B585" t="s">
        <v>49</v>
      </c>
      <c r="C585" s="8" t="s">
        <v>33</v>
      </c>
      <c r="D585" s="9" t="s">
        <v>19</v>
      </c>
      <c r="E585" t="s">
        <v>26</v>
      </c>
      <c r="F585" s="2">
        <v>46283</v>
      </c>
      <c r="G585" s="3">
        <v>27</v>
      </c>
      <c r="H585" s="2">
        <v>46309</v>
      </c>
      <c r="I585" s="4">
        <v>46310</v>
      </c>
      <c r="J585" s="3">
        <f>COUNTIFS('OOS Events'!$C:$C,B585,'OOS Events'!$D:$D,C585,'OOS Events'!$E:$E,"&gt;="&amp;D585-90,'OOS Events'!$E:$E,"&lt;"&amp;D585)</f>
        <v>0</v>
      </c>
      <c r="K585" s="3">
        <f>COUNTIF('OOS Events'!$B:$B,A585)</f>
        <v>0</v>
      </c>
      <c r="L585" s="3">
        <v>0</v>
      </c>
      <c r="M585" s="3">
        <v>19</v>
      </c>
      <c r="N585" t="s">
        <v>40</v>
      </c>
    </row>
    <row r="586" spans="1:14" ht="15" customHeight="1">
      <c r="A586" t="s">
        <v>661</v>
      </c>
      <c r="B586" t="s">
        <v>51</v>
      </c>
      <c r="C586" s="8" t="s">
        <v>38</v>
      </c>
      <c r="D586" s="9" t="s">
        <v>39</v>
      </c>
      <c r="E586" t="s">
        <v>43</v>
      </c>
      <c r="F586" s="2">
        <v>46283</v>
      </c>
      <c r="G586" s="3">
        <v>17</v>
      </c>
      <c r="H586" s="2">
        <v>46318</v>
      </c>
      <c r="I586" s="4">
        <v>46323</v>
      </c>
      <c r="J586" s="3">
        <f>COUNTIFS('OOS Events'!$C:$C,B586,'OOS Events'!$D:$D,C586,'OOS Events'!$E:$E,"&gt;="&amp;D586-90,'OOS Events'!$E:$E,"&lt;"&amp;D586)</f>
        <v>0</v>
      </c>
      <c r="K586" s="3">
        <f>COUNTIF('OOS Events'!$B:$B,A586)</f>
        <v>1</v>
      </c>
      <c r="L586" s="3">
        <v>0</v>
      </c>
      <c r="M586" s="3">
        <v>31</v>
      </c>
      <c r="N586" t="s">
        <v>35</v>
      </c>
    </row>
    <row r="587" spans="1:14" ht="15" customHeight="1">
      <c r="A587" t="s">
        <v>662</v>
      </c>
      <c r="B587" t="s">
        <v>53</v>
      </c>
      <c r="C587" s="8" t="s">
        <v>24</v>
      </c>
      <c r="D587" s="9" t="s">
        <v>25</v>
      </c>
      <c r="E587" t="s">
        <v>60</v>
      </c>
      <c r="F587" s="2">
        <v>46284</v>
      </c>
      <c r="G587" s="3">
        <v>20</v>
      </c>
      <c r="H587" s="2">
        <v>46314</v>
      </c>
      <c r="I587" s="2">
        <v>46312</v>
      </c>
      <c r="J587" s="3">
        <f>COUNTIFS('OOS Events'!$C:$C,B587,'OOS Events'!$D:$D,C587,'OOS Events'!$E:$E,"&gt;="&amp;D587-90,'OOS Events'!$E:$E,"&lt;"&amp;D587)</f>
        <v>0</v>
      </c>
      <c r="K587" s="3">
        <f>COUNTIF('OOS Events'!$B:$B,A587)</f>
        <v>1</v>
      </c>
      <c r="L587" s="3">
        <v>0</v>
      </c>
      <c r="M587" s="3">
        <v>21</v>
      </c>
      <c r="N587" t="s">
        <v>47</v>
      </c>
    </row>
    <row r="588" spans="1:14" ht="15" customHeight="1">
      <c r="A588" t="s">
        <v>663</v>
      </c>
      <c r="B588" t="s">
        <v>55</v>
      </c>
      <c r="C588" s="8" t="s">
        <v>33</v>
      </c>
      <c r="D588" s="9" t="s">
        <v>19</v>
      </c>
      <c r="E588" t="s">
        <v>30</v>
      </c>
      <c r="F588" s="2">
        <v>46286</v>
      </c>
      <c r="G588" s="3">
        <v>17</v>
      </c>
      <c r="H588" s="2">
        <v>46315</v>
      </c>
      <c r="I588" s="2">
        <v>46315</v>
      </c>
      <c r="J588" s="3">
        <f>COUNTIFS('OOS Events'!$C:$C,B588,'OOS Events'!$D:$D,C588,'OOS Events'!$E:$E,"&gt;="&amp;D588-90,'OOS Events'!$E:$E,"&lt;"&amp;D588)</f>
        <v>0</v>
      </c>
      <c r="K588" s="3">
        <f>COUNTIF('OOS Events'!$B:$B,A588)</f>
        <v>0</v>
      </c>
      <c r="L588" s="3">
        <v>0</v>
      </c>
      <c r="M588" s="3">
        <v>20</v>
      </c>
      <c r="N588" t="s">
        <v>44</v>
      </c>
    </row>
    <row r="589" spans="1:14" ht="15" customHeight="1">
      <c r="A589" t="s">
        <v>664</v>
      </c>
      <c r="B589" t="s">
        <v>59</v>
      </c>
      <c r="C589" s="8" t="s">
        <v>24</v>
      </c>
      <c r="D589" s="9" t="s">
        <v>25</v>
      </c>
      <c r="E589" t="s">
        <v>60</v>
      </c>
      <c r="F589" s="2">
        <v>46287</v>
      </c>
      <c r="G589" s="3">
        <v>24</v>
      </c>
      <c r="H589" s="2">
        <v>46307</v>
      </c>
      <c r="I589" s="4">
        <v>46315</v>
      </c>
      <c r="J589" s="3">
        <f>COUNTIFS('OOS Events'!$C:$C,B589,'OOS Events'!$D:$D,C589,'OOS Events'!$E:$E,"&gt;="&amp;D589-90,'OOS Events'!$E:$E,"&lt;"&amp;D589)</f>
        <v>0</v>
      </c>
      <c r="K589" s="3">
        <f>COUNTIF('OOS Events'!$B:$B,A589)</f>
        <v>0</v>
      </c>
      <c r="L589" s="3">
        <v>1</v>
      </c>
      <c r="M589" s="3">
        <v>16</v>
      </c>
      <c r="N589" t="s">
        <v>21</v>
      </c>
    </row>
    <row r="590" spans="1:14" ht="15" customHeight="1">
      <c r="A590" t="s">
        <v>665</v>
      </c>
      <c r="B590" t="s">
        <v>62</v>
      </c>
      <c r="C590" s="8" t="s">
        <v>33</v>
      </c>
      <c r="D590" s="9" t="s">
        <v>19</v>
      </c>
      <c r="E590" t="s">
        <v>34</v>
      </c>
      <c r="F590" s="2">
        <v>46288</v>
      </c>
      <c r="G590" s="3">
        <v>14</v>
      </c>
      <c r="H590" s="2">
        <v>46319</v>
      </c>
      <c r="I590" s="2">
        <v>46318</v>
      </c>
      <c r="J590" s="3">
        <f>COUNTIFS('OOS Events'!$C:$C,B590,'OOS Events'!$D:$D,C590,'OOS Events'!$E:$E,"&gt;="&amp;D590-90,'OOS Events'!$E:$E,"&lt;"&amp;D590)</f>
        <v>0</v>
      </c>
      <c r="K590" s="3">
        <f>COUNTIF('OOS Events'!$B:$B,A590)</f>
        <v>1</v>
      </c>
      <c r="L590" s="3">
        <v>0</v>
      </c>
      <c r="M590" s="3">
        <v>40</v>
      </c>
      <c r="N590" t="s">
        <v>35</v>
      </c>
    </row>
    <row r="591" spans="1:14" ht="15" customHeight="1">
      <c r="A591" t="s">
        <v>666</v>
      </c>
      <c r="B591" t="s">
        <v>64</v>
      </c>
      <c r="C591" s="8" t="s">
        <v>24</v>
      </c>
      <c r="D591" s="9" t="s">
        <v>25</v>
      </c>
      <c r="E591" t="s">
        <v>20</v>
      </c>
      <c r="F591" s="2">
        <v>46290</v>
      </c>
      <c r="G591" s="3">
        <v>21</v>
      </c>
      <c r="H591" s="2">
        <v>46313</v>
      </c>
      <c r="I591" s="4">
        <v>46318</v>
      </c>
      <c r="J591" s="3">
        <f>COUNTIFS('OOS Events'!$C:$C,B591,'OOS Events'!$D:$D,C591,'OOS Events'!$E:$E,"&gt;="&amp;D591-90,'OOS Events'!$E:$E,"&lt;"&amp;D591)</f>
        <v>0</v>
      </c>
      <c r="K591" s="3">
        <f>COUNTIF('OOS Events'!$B:$B,A591)</f>
        <v>0</v>
      </c>
      <c r="L591" s="3">
        <v>0</v>
      </c>
      <c r="M591" s="3">
        <v>19</v>
      </c>
      <c r="N591" t="s">
        <v>40</v>
      </c>
    </row>
    <row r="592" spans="1:14" ht="15" customHeight="1">
      <c r="A592" t="s">
        <v>667</v>
      </c>
      <c r="B592" t="s">
        <v>66</v>
      </c>
      <c r="C592" s="8" t="s">
        <v>24</v>
      </c>
      <c r="D592" s="9" t="s">
        <v>25</v>
      </c>
      <c r="E592" t="s">
        <v>20</v>
      </c>
      <c r="F592" s="2">
        <v>46291</v>
      </c>
      <c r="G592" s="3">
        <v>16</v>
      </c>
      <c r="H592" s="2">
        <v>46321</v>
      </c>
      <c r="I592" s="4">
        <v>46329</v>
      </c>
      <c r="J592" s="3">
        <f>COUNTIFS('OOS Events'!$C:$C,B592,'OOS Events'!$D:$D,C592,'OOS Events'!$E:$E,"&gt;="&amp;D592-90,'OOS Events'!$E:$E,"&lt;"&amp;D592)</f>
        <v>0</v>
      </c>
      <c r="K592" s="3">
        <f>COUNTIF('OOS Events'!$B:$B,A592)</f>
        <v>0</v>
      </c>
      <c r="L592" s="3">
        <v>0</v>
      </c>
      <c r="M592" s="3">
        <v>32</v>
      </c>
      <c r="N592" t="s">
        <v>47</v>
      </c>
    </row>
    <row r="593" spans="1:14" ht="15" customHeight="1">
      <c r="A593" t="s">
        <v>668</v>
      </c>
      <c r="B593" t="s">
        <v>68</v>
      </c>
      <c r="C593" s="8" t="s">
        <v>24</v>
      </c>
      <c r="D593" s="9" t="s">
        <v>25</v>
      </c>
      <c r="E593" t="s">
        <v>30</v>
      </c>
      <c r="F593" s="2">
        <v>46292</v>
      </c>
      <c r="G593" s="3">
        <v>9</v>
      </c>
      <c r="H593" s="2">
        <v>46308</v>
      </c>
      <c r="I593" s="4">
        <v>46311</v>
      </c>
      <c r="J593" s="3">
        <f>COUNTIFS('OOS Events'!$C:$C,B593,'OOS Events'!$D:$D,C593,'OOS Events'!$E:$E,"&gt;="&amp;D593-90,'OOS Events'!$E:$E,"&lt;"&amp;D593)</f>
        <v>0</v>
      </c>
      <c r="K593" s="3">
        <f>COUNTIF('OOS Events'!$B:$B,A593)</f>
        <v>0</v>
      </c>
      <c r="L593" s="3">
        <v>0</v>
      </c>
      <c r="M593" s="3">
        <v>20</v>
      </c>
      <c r="N593" t="s">
        <v>21</v>
      </c>
    </row>
    <row r="594" spans="1:14" ht="15" customHeight="1">
      <c r="A594" t="s">
        <v>669</v>
      </c>
      <c r="B594" t="s">
        <v>70</v>
      </c>
      <c r="C594" s="8" t="s">
        <v>71</v>
      </c>
      <c r="D594" s="9" t="s">
        <v>72</v>
      </c>
      <c r="E594" t="s">
        <v>60</v>
      </c>
      <c r="F594" s="2">
        <v>46294</v>
      </c>
      <c r="G594" s="3">
        <v>28</v>
      </c>
      <c r="H594" s="2">
        <v>46331</v>
      </c>
      <c r="I594" s="2">
        <v>46328</v>
      </c>
      <c r="J594" s="3">
        <f>COUNTIFS('OOS Events'!$C:$C,B594,'OOS Events'!$D:$D,C594,'OOS Events'!$E:$E,"&gt;="&amp;D594-90,'OOS Events'!$E:$E,"&lt;"&amp;D594)</f>
        <v>0</v>
      </c>
      <c r="K594" s="3">
        <f>COUNTIF('OOS Events'!$B:$B,A594)</f>
        <v>0</v>
      </c>
      <c r="L594" s="3">
        <v>0</v>
      </c>
      <c r="M594" s="3">
        <v>29</v>
      </c>
      <c r="N594" t="s">
        <v>27</v>
      </c>
    </row>
    <row r="595" spans="1:14" ht="15" customHeight="1">
      <c r="A595" t="s">
        <v>670</v>
      </c>
      <c r="B595" t="s">
        <v>74</v>
      </c>
      <c r="C595" s="8" t="s">
        <v>75</v>
      </c>
      <c r="D595" s="9" t="s">
        <v>72</v>
      </c>
      <c r="E595" t="s">
        <v>30</v>
      </c>
      <c r="F595" s="2">
        <v>46295</v>
      </c>
      <c r="G595" s="3">
        <v>16</v>
      </c>
      <c r="H595" s="2">
        <v>46326</v>
      </c>
      <c r="I595" s="2">
        <v>46326</v>
      </c>
      <c r="J595" s="3">
        <f>COUNTIFS('OOS Events'!$C:$C,B595,'OOS Events'!$D:$D,C595,'OOS Events'!$E:$E,"&gt;="&amp;D595-90,'OOS Events'!$E:$E,"&lt;"&amp;D595)</f>
        <v>0</v>
      </c>
      <c r="K595" s="3">
        <f>COUNTIF('OOS Events'!$B:$B,A595)</f>
        <v>1</v>
      </c>
      <c r="L595" s="3">
        <v>0</v>
      </c>
      <c r="M595" s="3">
        <v>34</v>
      </c>
      <c r="N595" t="s">
        <v>35</v>
      </c>
    </row>
    <row r="596" spans="1:14" ht="15" customHeight="1">
      <c r="A596" t="s">
        <v>671</v>
      </c>
      <c r="B596" t="s">
        <v>77</v>
      </c>
      <c r="C596" s="8" t="s">
        <v>33</v>
      </c>
      <c r="D596" s="9" t="s">
        <v>19</v>
      </c>
      <c r="E596" t="s">
        <v>20</v>
      </c>
      <c r="F596" s="2">
        <v>46296</v>
      </c>
      <c r="G596" s="3">
        <v>14</v>
      </c>
      <c r="H596" s="2">
        <v>46326</v>
      </c>
      <c r="I596" s="4">
        <v>46331</v>
      </c>
      <c r="J596" s="3">
        <f>COUNTIFS('OOS Events'!$C:$C,B596,'OOS Events'!$D:$D,C596,'OOS Events'!$E:$E,"&gt;="&amp;D596-90,'OOS Events'!$E:$E,"&lt;"&amp;D596)</f>
        <v>0</v>
      </c>
      <c r="K596" s="3">
        <f>COUNTIF('OOS Events'!$B:$B,A596)</f>
        <v>0</v>
      </c>
      <c r="L596" s="3">
        <v>1</v>
      </c>
      <c r="M596" s="3">
        <v>26</v>
      </c>
      <c r="N596" t="s">
        <v>47</v>
      </c>
    </row>
    <row r="597" spans="1:14" ht="15" customHeight="1">
      <c r="A597" t="s">
        <v>672</v>
      </c>
      <c r="B597" t="s">
        <v>79</v>
      </c>
      <c r="C597" s="8" t="s">
        <v>33</v>
      </c>
      <c r="D597" s="9" t="s">
        <v>19</v>
      </c>
      <c r="E597" t="s">
        <v>20</v>
      </c>
      <c r="F597" s="2">
        <v>46299</v>
      </c>
      <c r="G597" s="3">
        <v>18</v>
      </c>
      <c r="H597" s="2">
        <v>46313</v>
      </c>
      <c r="I597" s="2">
        <v>46313</v>
      </c>
      <c r="J597" s="3">
        <f>COUNTIFS('OOS Events'!$C:$C,B597,'OOS Events'!$D:$D,C597,'OOS Events'!$E:$E,"&gt;="&amp;D597-90,'OOS Events'!$E:$E,"&lt;"&amp;D597)</f>
        <v>0</v>
      </c>
      <c r="K597" s="3">
        <f>COUNTIF('OOS Events'!$B:$B,A597)</f>
        <v>0</v>
      </c>
      <c r="L597" s="3">
        <v>2</v>
      </c>
      <c r="M597" s="3">
        <v>19</v>
      </c>
      <c r="N597" t="s">
        <v>21</v>
      </c>
    </row>
    <row r="598" spans="1:14" ht="15" customHeight="1">
      <c r="A598" t="s">
        <v>673</v>
      </c>
      <c r="B598" t="s">
        <v>81</v>
      </c>
      <c r="C598" s="8" t="s">
        <v>71</v>
      </c>
      <c r="D598" s="9" t="s">
        <v>72</v>
      </c>
      <c r="E598" t="s">
        <v>60</v>
      </c>
      <c r="F598" s="2">
        <v>46300</v>
      </c>
      <c r="G598" s="3">
        <v>27</v>
      </c>
      <c r="H598" s="2">
        <v>46335</v>
      </c>
      <c r="I598" s="4">
        <v>46340</v>
      </c>
      <c r="J598" s="3">
        <f>COUNTIFS('OOS Events'!$C:$C,B598,'OOS Events'!$D:$D,C598,'OOS Events'!$E:$E,"&gt;="&amp;D598-90,'OOS Events'!$E:$E,"&lt;"&amp;D598)</f>
        <v>0</v>
      </c>
      <c r="K598" s="3">
        <f>COUNTIF('OOS Events'!$B:$B,A598)</f>
        <v>0</v>
      </c>
      <c r="L598" s="3">
        <v>1</v>
      </c>
      <c r="M598" s="3">
        <v>42</v>
      </c>
      <c r="N598" t="s">
        <v>35</v>
      </c>
    </row>
    <row r="599" spans="1:14" ht="15" customHeight="1">
      <c r="A599" t="s">
        <v>674</v>
      </c>
      <c r="B599" t="s">
        <v>295</v>
      </c>
      <c r="C599" s="8" t="s">
        <v>33</v>
      </c>
      <c r="D599" s="9" t="s">
        <v>19</v>
      </c>
      <c r="E599" t="s">
        <v>30</v>
      </c>
      <c r="F599" s="2">
        <v>46301</v>
      </c>
      <c r="G599" s="3">
        <v>16</v>
      </c>
      <c r="H599" s="2">
        <v>46323</v>
      </c>
      <c r="I599" s="2">
        <v>46323</v>
      </c>
      <c r="J599" s="3">
        <f>COUNTIFS('OOS Events'!$C:$C,B599,'OOS Events'!$D:$D,C599,'OOS Events'!$E:$E,"&gt;="&amp;D599-90,'OOS Events'!$E:$E,"&lt;"&amp;D599)</f>
        <v>0</v>
      </c>
      <c r="K599" s="3">
        <f>COUNTIF('OOS Events'!$B:$B,A599)</f>
        <v>1</v>
      </c>
      <c r="L599" s="3">
        <v>0</v>
      </c>
      <c r="M599" s="3">
        <v>26</v>
      </c>
      <c r="N599" t="s">
        <v>44</v>
      </c>
    </row>
    <row r="600" spans="1:14" ht="15" customHeight="1">
      <c r="A600" t="s">
        <v>675</v>
      </c>
      <c r="B600" t="s">
        <v>83</v>
      </c>
      <c r="C600" s="8" t="s">
        <v>33</v>
      </c>
      <c r="D600" s="9" t="s">
        <v>19</v>
      </c>
      <c r="E600" t="s">
        <v>26</v>
      </c>
      <c r="F600" s="2">
        <v>46303</v>
      </c>
      <c r="G600" s="3">
        <v>16</v>
      </c>
      <c r="H600" s="2">
        <v>46330</v>
      </c>
      <c r="I600" s="4">
        <v>46331</v>
      </c>
      <c r="J600" s="3">
        <f>COUNTIFS('OOS Events'!$C:$C,B600,'OOS Events'!$D:$D,C600,'OOS Events'!$E:$E,"&gt;="&amp;D600-90,'OOS Events'!$E:$E,"&lt;"&amp;D600)</f>
        <v>0</v>
      </c>
      <c r="K600" s="3">
        <f>COUNTIF('OOS Events'!$B:$B,A600)</f>
        <v>1</v>
      </c>
      <c r="L600" s="3">
        <v>2</v>
      </c>
      <c r="M600" s="3">
        <v>15</v>
      </c>
      <c r="N600" t="s">
        <v>47</v>
      </c>
    </row>
    <row r="601" spans="1:14" ht="15" customHeight="1">
      <c r="A601" t="s">
        <v>676</v>
      </c>
      <c r="B601" t="s">
        <v>85</v>
      </c>
      <c r="C601" s="8" t="s">
        <v>71</v>
      </c>
      <c r="D601" s="9" t="s">
        <v>72</v>
      </c>
      <c r="E601" t="s">
        <v>43</v>
      </c>
      <c r="F601" s="2">
        <v>46304</v>
      </c>
      <c r="G601" s="3">
        <v>22</v>
      </c>
      <c r="H601" s="2">
        <v>46323</v>
      </c>
      <c r="I601" s="2">
        <v>46322</v>
      </c>
      <c r="J601" s="3">
        <f>COUNTIFS('OOS Events'!$C:$C,B601,'OOS Events'!$D:$D,C601,'OOS Events'!$E:$E,"&gt;="&amp;D601-90,'OOS Events'!$E:$E,"&lt;"&amp;D601)</f>
        <v>0</v>
      </c>
      <c r="K601" s="3">
        <f>COUNTIF('OOS Events'!$B:$B,A601)</f>
        <v>0</v>
      </c>
      <c r="L601" s="3">
        <v>0</v>
      </c>
      <c r="M601" s="3">
        <v>23</v>
      </c>
      <c r="N601" t="s">
        <v>21</v>
      </c>
    </row>
    <row r="602" spans="1:14" ht="15" customHeight="1">
      <c r="A602" t="s">
        <v>677</v>
      </c>
      <c r="B602" t="s">
        <v>87</v>
      </c>
      <c r="C602" s="8" t="s">
        <v>71</v>
      </c>
      <c r="D602" s="9" t="s">
        <v>72</v>
      </c>
      <c r="E602" t="s">
        <v>20</v>
      </c>
      <c r="F602" s="2">
        <v>46305</v>
      </c>
      <c r="G602" s="3">
        <v>24</v>
      </c>
      <c r="H602" s="2">
        <v>46329</v>
      </c>
      <c r="I602" s="2">
        <v>46329</v>
      </c>
      <c r="J602" s="3">
        <f>COUNTIFS('OOS Events'!$C:$C,B602,'OOS Events'!$D:$D,C602,'OOS Events'!$E:$E,"&gt;="&amp;D602-90,'OOS Events'!$E:$E,"&lt;"&amp;D602)</f>
        <v>0</v>
      </c>
      <c r="K602" s="3">
        <f>COUNTIF('OOS Events'!$B:$B,A602)</f>
        <v>1</v>
      </c>
      <c r="L602" s="3">
        <v>1</v>
      </c>
      <c r="M602" s="3">
        <v>15</v>
      </c>
      <c r="N602" t="s">
        <v>40</v>
      </c>
    </row>
    <row r="603" spans="1:14" ht="15" customHeight="1">
      <c r="A603" t="s">
        <v>678</v>
      </c>
      <c r="B603" t="s">
        <v>89</v>
      </c>
      <c r="C603" s="8" t="s">
        <v>24</v>
      </c>
      <c r="D603" s="9" t="s">
        <v>25</v>
      </c>
      <c r="E603" t="s">
        <v>43</v>
      </c>
      <c r="F603" s="2">
        <v>46307</v>
      </c>
      <c r="G603" s="3">
        <v>19</v>
      </c>
      <c r="H603" s="2">
        <v>46340</v>
      </c>
      <c r="I603" s="4">
        <v>46341</v>
      </c>
      <c r="J603" s="3">
        <f>COUNTIFS('OOS Events'!$C:$C,B603,'OOS Events'!$D:$D,C603,'OOS Events'!$E:$E,"&gt;="&amp;D603-90,'OOS Events'!$E:$E,"&lt;"&amp;D603)</f>
        <v>0</v>
      </c>
      <c r="K603" s="3">
        <f>COUNTIF('OOS Events'!$B:$B,A603)</f>
        <v>1</v>
      </c>
      <c r="L603" s="3">
        <v>0</v>
      </c>
      <c r="M603" s="3">
        <v>42</v>
      </c>
      <c r="N603" t="s">
        <v>35</v>
      </c>
    </row>
    <row r="604" spans="1:14" ht="15" customHeight="1">
      <c r="A604" t="s">
        <v>679</v>
      </c>
      <c r="B604" t="s">
        <v>91</v>
      </c>
      <c r="C604" s="8" t="s">
        <v>24</v>
      </c>
      <c r="D604" s="9" t="s">
        <v>25</v>
      </c>
      <c r="E604" t="s">
        <v>60</v>
      </c>
      <c r="F604" s="2">
        <v>46308</v>
      </c>
      <c r="G604" s="3">
        <v>24</v>
      </c>
      <c r="H604" s="2">
        <v>46337</v>
      </c>
      <c r="I604" s="2">
        <v>46337</v>
      </c>
      <c r="J604" s="3">
        <f>COUNTIFS('OOS Events'!$C:$C,B604,'OOS Events'!$D:$D,C604,'OOS Events'!$E:$E,"&gt;="&amp;D604-90,'OOS Events'!$E:$E,"&lt;"&amp;D604)</f>
        <v>0</v>
      </c>
      <c r="K604" s="3">
        <f>COUNTIF('OOS Events'!$B:$B,A604)</f>
        <v>0</v>
      </c>
      <c r="L604" s="3">
        <v>1</v>
      </c>
      <c r="M604" s="3">
        <v>19</v>
      </c>
      <c r="N604" t="s">
        <v>47</v>
      </c>
    </row>
  </sheetData>
  <mergeCells count="2">
    <mergeCell ref="A2:L2"/>
    <mergeCell ref="A1:L1"/>
  </mergeCells>
  <conditionalFormatting sqref="E5:E604">
    <cfRule type="colorScale" priority="2">
      <colorScale>
        <cfvo type="min"/>
        <cfvo type="percentile" val="50"/>
        <cfvo type="max"/>
        <color rgb="FFE2F0D9"/>
        <color rgb="FFFFF2CC"/>
        <color rgb="FFF4CCCC"/>
      </colorScale>
    </cfRule>
  </conditionalFormatting>
  <conditionalFormatting sqref="H5:H604">
    <cfRule type="colorScale" priority="3">
      <colorScale>
        <cfvo type="min"/>
        <cfvo type="percentile" val="50"/>
        <cfvo type="max"/>
        <color rgb="FFE2F0D9"/>
        <color rgb="FFFFF2CC"/>
        <color rgb="FFF4CCCC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29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109375" defaultRowHeight="15" customHeight="1"/>
  <cols>
    <col min="1" max="1" width="16" customWidth="1"/>
    <col min="2" max="3" width="15" customWidth="1"/>
    <col min="4" max="4" width="18" customWidth="1"/>
    <col min="5" max="5" width="30" customWidth="1"/>
    <col min="6" max="6" width="13" customWidth="1"/>
    <col min="7" max="7" width="16" customWidth="1"/>
    <col min="8" max="8" width="20" customWidth="1"/>
  </cols>
  <sheetData>
    <row r="1" spans="1:10" ht="15" customHeight="1">
      <c r="A1" s="5" t="s">
        <v>680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681</v>
      </c>
      <c r="H1" s="5" t="s">
        <v>682</v>
      </c>
      <c r="I1" s="5" t="s">
        <v>683</v>
      </c>
      <c r="J1" s="5" t="s">
        <v>684</v>
      </c>
    </row>
    <row r="2" spans="1:10" ht="15" customHeight="1">
      <c r="A2" t="s">
        <v>685</v>
      </c>
      <c r="B2" t="s">
        <v>22</v>
      </c>
      <c r="C2" t="s">
        <v>23</v>
      </c>
      <c r="D2" s="8" t="s">
        <v>24</v>
      </c>
      <c r="E2" s="9" t="s">
        <v>25</v>
      </c>
      <c r="F2" t="s">
        <v>26</v>
      </c>
      <c r="G2" s="2">
        <v>45578</v>
      </c>
      <c r="H2" t="s">
        <v>686</v>
      </c>
      <c r="I2" s="2">
        <v>45613</v>
      </c>
      <c r="J2" t="s">
        <v>687</v>
      </c>
    </row>
    <row r="3" spans="1:10" ht="15" customHeight="1">
      <c r="A3" t="s">
        <v>688</v>
      </c>
      <c r="B3" t="s">
        <v>28</v>
      </c>
      <c r="C3" t="s">
        <v>29</v>
      </c>
      <c r="D3" s="8" t="s">
        <v>24</v>
      </c>
      <c r="E3" s="9" t="s">
        <v>25</v>
      </c>
      <c r="F3" t="s">
        <v>30</v>
      </c>
      <c r="G3" s="2">
        <v>45576</v>
      </c>
      <c r="H3" t="s">
        <v>686</v>
      </c>
      <c r="I3" s="2">
        <v>45617</v>
      </c>
      <c r="J3" t="s">
        <v>689</v>
      </c>
    </row>
    <row r="4" spans="1:10" ht="15" customHeight="1">
      <c r="A4" t="s">
        <v>690</v>
      </c>
      <c r="B4" t="s">
        <v>31</v>
      </c>
      <c r="C4" t="s">
        <v>32</v>
      </c>
      <c r="D4" s="8" t="s">
        <v>33</v>
      </c>
      <c r="E4" s="9" t="s">
        <v>19</v>
      </c>
      <c r="F4" t="s">
        <v>34</v>
      </c>
      <c r="G4" s="2">
        <v>45599</v>
      </c>
      <c r="H4" t="s">
        <v>686</v>
      </c>
      <c r="I4" s="2">
        <v>45628</v>
      </c>
      <c r="J4" t="s">
        <v>691</v>
      </c>
    </row>
    <row r="5" spans="1:10" ht="15" customHeight="1">
      <c r="A5" t="s">
        <v>692</v>
      </c>
      <c r="B5" t="s">
        <v>31</v>
      </c>
      <c r="C5" t="s">
        <v>32</v>
      </c>
      <c r="D5" s="8" t="s">
        <v>33</v>
      </c>
      <c r="E5" s="9" t="s">
        <v>19</v>
      </c>
      <c r="F5" t="s">
        <v>34</v>
      </c>
      <c r="G5" s="2">
        <v>45569</v>
      </c>
      <c r="H5" t="s">
        <v>686</v>
      </c>
      <c r="I5" s="2">
        <v>45609</v>
      </c>
      <c r="J5" t="s">
        <v>691</v>
      </c>
    </row>
    <row r="6" spans="1:10" ht="15" customHeight="1">
      <c r="A6" t="s">
        <v>693</v>
      </c>
      <c r="B6" t="s">
        <v>41</v>
      </c>
      <c r="C6" t="s">
        <v>42</v>
      </c>
      <c r="D6" s="8" t="s">
        <v>24</v>
      </c>
      <c r="E6" s="9" t="s">
        <v>25</v>
      </c>
      <c r="F6" t="s">
        <v>43</v>
      </c>
      <c r="G6" s="2">
        <v>45556</v>
      </c>
      <c r="H6" t="s">
        <v>686</v>
      </c>
      <c r="I6" s="2">
        <v>45601</v>
      </c>
      <c r="J6" t="s">
        <v>691</v>
      </c>
    </row>
    <row r="7" spans="1:10" ht="15" customHeight="1">
      <c r="A7" t="s">
        <v>694</v>
      </c>
      <c r="B7" t="s">
        <v>56</v>
      </c>
      <c r="C7" t="s">
        <v>57</v>
      </c>
      <c r="D7" s="8" t="s">
        <v>24</v>
      </c>
      <c r="E7" s="9" t="s">
        <v>25</v>
      </c>
      <c r="F7" t="s">
        <v>43</v>
      </c>
      <c r="G7" s="2">
        <v>45555</v>
      </c>
      <c r="H7" t="s">
        <v>686</v>
      </c>
      <c r="I7" s="2">
        <v>45598</v>
      </c>
      <c r="J7" t="s">
        <v>695</v>
      </c>
    </row>
    <row r="8" spans="1:10" ht="15" customHeight="1">
      <c r="A8" t="s">
        <v>696</v>
      </c>
      <c r="B8" t="s">
        <v>56</v>
      </c>
      <c r="C8" t="s">
        <v>57</v>
      </c>
      <c r="D8" s="8" t="s">
        <v>24</v>
      </c>
      <c r="E8" s="9" t="s">
        <v>25</v>
      </c>
      <c r="F8" t="s">
        <v>43</v>
      </c>
      <c r="G8" s="2">
        <v>45549</v>
      </c>
      <c r="H8" t="s">
        <v>686</v>
      </c>
      <c r="I8" s="2">
        <v>45586</v>
      </c>
      <c r="J8" t="s">
        <v>695</v>
      </c>
    </row>
    <row r="9" spans="1:10" ht="15" customHeight="1">
      <c r="A9" t="s">
        <v>697</v>
      </c>
      <c r="B9" t="s">
        <v>58</v>
      </c>
      <c r="C9" t="s">
        <v>59</v>
      </c>
      <c r="D9" s="8" t="s">
        <v>24</v>
      </c>
      <c r="E9" s="9" t="s">
        <v>25</v>
      </c>
      <c r="F9" t="s">
        <v>60</v>
      </c>
      <c r="G9" s="2">
        <v>45609</v>
      </c>
      <c r="H9" t="s">
        <v>686</v>
      </c>
      <c r="I9" s="2">
        <v>45626</v>
      </c>
      <c r="J9" t="s">
        <v>695</v>
      </c>
    </row>
    <row r="10" spans="1:10" ht="15" customHeight="1">
      <c r="A10" t="s">
        <v>698</v>
      </c>
      <c r="B10" t="s">
        <v>61</v>
      </c>
      <c r="C10" t="s">
        <v>62</v>
      </c>
      <c r="D10" s="8" t="s">
        <v>33</v>
      </c>
      <c r="E10" s="9" t="s">
        <v>19</v>
      </c>
      <c r="F10" t="s">
        <v>34</v>
      </c>
      <c r="G10" s="2">
        <v>45597</v>
      </c>
      <c r="H10" t="s">
        <v>686</v>
      </c>
      <c r="I10" s="2">
        <v>45642</v>
      </c>
      <c r="J10" t="s">
        <v>687</v>
      </c>
    </row>
    <row r="11" spans="1:10" ht="15" customHeight="1">
      <c r="A11" t="s">
        <v>699</v>
      </c>
      <c r="B11" t="s">
        <v>65</v>
      </c>
      <c r="C11" t="s">
        <v>66</v>
      </c>
      <c r="D11" s="8" t="s">
        <v>24</v>
      </c>
      <c r="E11" s="9" t="s">
        <v>25</v>
      </c>
      <c r="F11" t="s">
        <v>34</v>
      </c>
      <c r="G11" s="2">
        <v>45566</v>
      </c>
      <c r="H11" t="s">
        <v>686</v>
      </c>
      <c r="I11" s="2">
        <v>45599</v>
      </c>
      <c r="J11" t="s">
        <v>700</v>
      </c>
    </row>
    <row r="12" spans="1:10" ht="15" customHeight="1">
      <c r="A12" t="s">
        <v>701</v>
      </c>
      <c r="B12" t="s">
        <v>67</v>
      </c>
      <c r="C12" t="s">
        <v>68</v>
      </c>
      <c r="D12" s="8" t="s">
        <v>24</v>
      </c>
      <c r="E12" s="9" t="s">
        <v>25</v>
      </c>
      <c r="F12" t="s">
        <v>30</v>
      </c>
      <c r="G12" s="2">
        <v>45596</v>
      </c>
      <c r="H12" t="s">
        <v>686</v>
      </c>
      <c r="I12" s="2">
        <v>45616</v>
      </c>
      <c r="J12" t="s">
        <v>687</v>
      </c>
    </row>
    <row r="13" spans="1:10" ht="15" customHeight="1">
      <c r="A13" t="s">
        <v>702</v>
      </c>
      <c r="B13" t="s">
        <v>67</v>
      </c>
      <c r="C13" t="s">
        <v>68</v>
      </c>
      <c r="D13" s="8" t="s">
        <v>24</v>
      </c>
      <c r="E13" s="9" t="s">
        <v>25</v>
      </c>
      <c r="F13" t="s">
        <v>30</v>
      </c>
      <c r="G13" s="2">
        <v>45626</v>
      </c>
      <c r="H13" t="s">
        <v>686</v>
      </c>
      <c r="I13" s="2">
        <v>45650</v>
      </c>
      <c r="J13" t="s">
        <v>691</v>
      </c>
    </row>
    <row r="14" spans="1:10" ht="15" customHeight="1">
      <c r="A14" t="s">
        <v>703</v>
      </c>
      <c r="B14" t="s">
        <v>69</v>
      </c>
      <c r="C14" t="s">
        <v>70</v>
      </c>
      <c r="D14" s="8" t="s">
        <v>71</v>
      </c>
      <c r="E14" s="9" t="s">
        <v>72</v>
      </c>
      <c r="F14" t="s">
        <v>26</v>
      </c>
      <c r="G14" s="2">
        <v>45622</v>
      </c>
      <c r="H14" t="s">
        <v>686</v>
      </c>
      <c r="I14" s="2">
        <v>45641</v>
      </c>
      <c r="J14" t="s">
        <v>689</v>
      </c>
    </row>
    <row r="15" spans="1:10" ht="15" customHeight="1">
      <c r="A15" t="s">
        <v>704</v>
      </c>
      <c r="B15" t="s">
        <v>69</v>
      </c>
      <c r="C15" t="s">
        <v>70</v>
      </c>
      <c r="D15" s="8" t="s">
        <v>71</v>
      </c>
      <c r="E15" s="9" t="s">
        <v>72</v>
      </c>
      <c r="F15" t="s">
        <v>26</v>
      </c>
      <c r="G15" s="2">
        <v>45590</v>
      </c>
      <c r="H15" t="s">
        <v>686</v>
      </c>
      <c r="I15" s="2">
        <v>45630</v>
      </c>
      <c r="J15" t="s">
        <v>689</v>
      </c>
    </row>
    <row r="16" spans="1:10" ht="15" customHeight="1">
      <c r="A16" t="s">
        <v>705</v>
      </c>
      <c r="B16" t="s">
        <v>73</v>
      </c>
      <c r="C16" t="s">
        <v>74</v>
      </c>
      <c r="D16" s="8" t="s">
        <v>75</v>
      </c>
      <c r="E16" s="9" t="s">
        <v>72</v>
      </c>
      <c r="F16" t="s">
        <v>26</v>
      </c>
      <c r="G16" s="2">
        <v>45579</v>
      </c>
      <c r="H16" t="s">
        <v>686</v>
      </c>
      <c r="I16" s="2">
        <v>45595</v>
      </c>
      <c r="J16" t="s">
        <v>687</v>
      </c>
    </row>
    <row r="17" spans="1:10" ht="15" customHeight="1">
      <c r="A17" t="s">
        <v>706</v>
      </c>
      <c r="B17" t="s">
        <v>90</v>
      </c>
      <c r="C17" t="s">
        <v>91</v>
      </c>
      <c r="D17" s="8" t="s">
        <v>24</v>
      </c>
      <c r="E17" s="9" t="s">
        <v>25</v>
      </c>
      <c r="F17" t="s">
        <v>60</v>
      </c>
      <c r="G17" s="2">
        <v>45612</v>
      </c>
      <c r="H17" t="s">
        <v>686</v>
      </c>
      <c r="I17" s="2">
        <v>45632</v>
      </c>
      <c r="J17" t="s">
        <v>695</v>
      </c>
    </row>
    <row r="18" spans="1:10" ht="15" customHeight="1">
      <c r="A18" t="s">
        <v>707</v>
      </c>
      <c r="B18" t="s">
        <v>95</v>
      </c>
      <c r="C18" t="s">
        <v>32</v>
      </c>
      <c r="D18" s="8" t="s">
        <v>33</v>
      </c>
      <c r="E18" s="9" t="s">
        <v>19</v>
      </c>
      <c r="F18" t="s">
        <v>34</v>
      </c>
      <c r="G18" s="2">
        <v>45609</v>
      </c>
      <c r="H18" t="s">
        <v>686</v>
      </c>
      <c r="I18" s="2">
        <v>45631</v>
      </c>
      <c r="J18" t="s">
        <v>687</v>
      </c>
    </row>
    <row r="19" spans="1:10" ht="15" customHeight="1">
      <c r="A19" t="s">
        <v>708</v>
      </c>
      <c r="B19" t="s">
        <v>95</v>
      </c>
      <c r="C19" t="s">
        <v>32</v>
      </c>
      <c r="D19" s="8" t="s">
        <v>33</v>
      </c>
      <c r="E19" s="9" t="s">
        <v>19</v>
      </c>
      <c r="F19" t="s">
        <v>34</v>
      </c>
      <c r="G19" s="2">
        <v>45580</v>
      </c>
      <c r="H19" t="s">
        <v>686</v>
      </c>
      <c r="I19" s="2">
        <v>45616</v>
      </c>
      <c r="J19" t="s">
        <v>691</v>
      </c>
    </row>
    <row r="20" spans="1:10" ht="15" customHeight="1">
      <c r="A20" t="s">
        <v>709</v>
      </c>
      <c r="B20" t="s">
        <v>96</v>
      </c>
      <c r="C20" t="s">
        <v>97</v>
      </c>
      <c r="D20" s="8" t="s">
        <v>18</v>
      </c>
      <c r="E20" s="9" t="s">
        <v>19</v>
      </c>
      <c r="F20" t="s">
        <v>26</v>
      </c>
      <c r="G20" s="2">
        <v>45623</v>
      </c>
      <c r="H20" t="s">
        <v>686</v>
      </c>
      <c r="I20" s="2">
        <v>45641</v>
      </c>
      <c r="J20" t="s">
        <v>700</v>
      </c>
    </row>
    <row r="21" spans="1:10" ht="15" customHeight="1">
      <c r="A21" t="s">
        <v>710</v>
      </c>
      <c r="B21" t="s">
        <v>96</v>
      </c>
      <c r="C21" t="s">
        <v>97</v>
      </c>
      <c r="D21" s="8" t="s">
        <v>18</v>
      </c>
      <c r="E21" s="9" t="s">
        <v>19</v>
      </c>
      <c r="F21" t="s">
        <v>26</v>
      </c>
      <c r="G21" s="2">
        <v>45639</v>
      </c>
      <c r="H21" t="s">
        <v>686</v>
      </c>
      <c r="I21" s="2">
        <v>45673</v>
      </c>
      <c r="J21" t="s">
        <v>695</v>
      </c>
    </row>
    <row r="22" spans="1:10" ht="15" customHeight="1">
      <c r="A22" t="s">
        <v>711</v>
      </c>
      <c r="B22" t="s">
        <v>102</v>
      </c>
      <c r="C22" t="s">
        <v>53</v>
      </c>
      <c r="D22" s="8" t="s">
        <v>24</v>
      </c>
      <c r="E22" s="9" t="s">
        <v>25</v>
      </c>
      <c r="F22" t="s">
        <v>60</v>
      </c>
      <c r="G22" s="2">
        <v>45619</v>
      </c>
      <c r="H22" t="s">
        <v>686</v>
      </c>
      <c r="I22" s="2">
        <v>45656</v>
      </c>
      <c r="J22" t="s">
        <v>687</v>
      </c>
    </row>
    <row r="23" spans="1:10" ht="15" customHeight="1">
      <c r="A23" t="s">
        <v>712</v>
      </c>
      <c r="B23" t="s">
        <v>110</v>
      </c>
      <c r="C23" t="s">
        <v>66</v>
      </c>
      <c r="D23" s="8" t="s">
        <v>24</v>
      </c>
      <c r="E23" s="9" t="s">
        <v>25</v>
      </c>
      <c r="F23" t="s">
        <v>34</v>
      </c>
      <c r="G23" s="2">
        <v>45648</v>
      </c>
      <c r="H23" t="s">
        <v>686</v>
      </c>
      <c r="I23" s="2">
        <v>45686</v>
      </c>
      <c r="J23" t="s">
        <v>689</v>
      </c>
    </row>
    <row r="24" spans="1:10" ht="15" customHeight="1">
      <c r="A24" t="s">
        <v>713</v>
      </c>
      <c r="B24" t="s">
        <v>111</v>
      </c>
      <c r="C24" t="s">
        <v>68</v>
      </c>
      <c r="D24" s="8" t="s">
        <v>24</v>
      </c>
      <c r="E24" s="9" t="s">
        <v>25</v>
      </c>
      <c r="F24" t="s">
        <v>30</v>
      </c>
      <c r="G24" s="2">
        <v>45642</v>
      </c>
      <c r="H24" t="s">
        <v>686</v>
      </c>
      <c r="I24" s="2">
        <v>45679</v>
      </c>
      <c r="J24" t="s">
        <v>687</v>
      </c>
    </row>
    <row r="25" spans="1:10" ht="15" customHeight="1">
      <c r="A25" t="s">
        <v>714</v>
      </c>
      <c r="B25" t="s">
        <v>111</v>
      </c>
      <c r="C25" t="s">
        <v>68</v>
      </c>
      <c r="D25" s="8" t="s">
        <v>24</v>
      </c>
      <c r="E25" s="9" t="s">
        <v>25</v>
      </c>
      <c r="F25" t="s">
        <v>30</v>
      </c>
      <c r="G25" s="2">
        <v>45662</v>
      </c>
      <c r="H25" t="s">
        <v>686</v>
      </c>
      <c r="I25" s="2">
        <v>45677</v>
      </c>
      <c r="J25" t="s">
        <v>700</v>
      </c>
    </row>
    <row r="26" spans="1:10" ht="15" customHeight="1">
      <c r="A26" t="s">
        <v>715</v>
      </c>
      <c r="B26" t="s">
        <v>112</v>
      </c>
      <c r="C26" t="s">
        <v>70</v>
      </c>
      <c r="D26" s="8" t="s">
        <v>71</v>
      </c>
      <c r="E26" s="9" t="s">
        <v>72</v>
      </c>
      <c r="F26" t="s">
        <v>26</v>
      </c>
      <c r="G26" s="2">
        <v>45662</v>
      </c>
      <c r="H26" t="s">
        <v>686</v>
      </c>
      <c r="I26" s="2">
        <v>45686</v>
      </c>
      <c r="J26" t="s">
        <v>689</v>
      </c>
    </row>
    <row r="27" spans="1:10" ht="15" customHeight="1">
      <c r="A27" t="s">
        <v>716</v>
      </c>
      <c r="B27" t="s">
        <v>117</v>
      </c>
      <c r="C27" t="s">
        <v>83</v>
      </c>
      <c r="D27" s="8" t="s">
        <v>33</v>
      </c>
      <c r="E27" s="9" t="s">
        <v>19</v>
      </c>
      <c r="F27" t="s">
        <v>26</v>
      </c>
      <c r="G27" s="2">
        <v>45619</v>
      </c>
      <c r="H27" t="s">
        <v>686</v>
      </c>
      <c r="I27" s="2">
        <v>45651</v>
      </c>
      <c r="J27" t="s">
        <v>689</v>
      </c>
    </row>
    <row r="28" spans="1:10" ht="15" customHeight="1">
      <c r="A28" t="s">
        <v>717</v>
      </c>
      <c r="B28" t="s">
        <v>117</v>
      </c>
      <c r="C28" t="s">
        <v>83</v>
      </c>
      <c r="D28" s="8" t="s">
        <v>33</v>
      </c>
      <c r="E28" s="9" t="s">
        <v>19</v>
      </c>
      <c r="F28" t="s">
        <v>26</v>
      </c>
      <c r="G28" s="2">
        <v>45651</v>
      </c>
      <c r="H28" t="s">
        <v>686</v>
      </c>
      <c r="I28" s="2">
        <v>45669</v>
      </c>
      <c r="J28" t="s">
        <v>687</v>
      </c>
    </row>
    <row r="29" spans="1:10" ht="15" customHeight="1">
      <c r="A29" t="s">
        <v>718</v>
      </c>
      <c r="B29" t="s">
        <v>118</v>
      </c>
      <c r="C29" t="s">
        <v>85</v>
      </c>
      <c r="D29" s="8" t="s">
        <v>71</v>
      </c>
      <c r="E29" s="9" t="s">
        <v>72</v>
      </c>
      <c r="F29" t="s">
        <v>43</v>
      </c>
      <c r="G29" s="2">
        <v>45628</v>
      </c>
      <c r="H29" t="s">
        <v>686</v>
      </c>
      <c r="I29" s="2">
        <v>45652</v>
      </c>
      <c r="J29" t="s">
        <v>700</v>
      </c>
    </row>
    <row r="30" spans="1:10" ht="15" customHeight="1">
      <c r="A30" t="s">
        <v>719</v>
      </c>
      <c r="B30" t="s">
        <v>118</v>
      </c>
      <c r="C30" t="s">
        <v>85</v>
      </c>
      <c r="D30" s="8" t="s">
        <v>71</v>
      </c>
      <c r="E30" s="9" t="s">
        <v>72</v>
      </c>
      <c r="F30" t="s">
        <v>43</v>
      </c>
      <c r="G30" s="2">
        <v>45675</v>
      </c>
      <c r="H30" t="s">
        <v>686</v>
      </c>
      <c r="I30" s="2">
        <v>45699</v>
      </c>
      <c r="J30" t="s">
        <v>691</v>
      </c>
    </row>
    <row r="31" spans="1:10" ht="15" customHeight="1">
      <c r="A31" t="s">
        <v>720</v>
      </c>
      <c r="B31" t="s">
        <v>119</v>
      </c>
      <c r="C31" t="s">
        <v>89</v>
      </c>
      <c r="D31" s="8" t="s">
        <v>24</v>
      </c>
      <c r="E31" s="9" t="s">
        <v>25</v>
      </c>
      <c r="F31" t="s">
        <v>43</v>
      </c>
      <c r="G31" s="2">
        <v>45605</v>
      </c>
      <c r="H31" t="s">
        <v>686</v>
      </c>
      <c r="I31" s="2">
        <v>45649</v>
      </c>
      <c r="J31" t="s">
        <v>689</v>
      </c>
    </row>
    <row r="32" spans="1:10" ht="15" customHeight="1">
      <c r="A32" t="s">
        <v>721</v>
      </c>
      <c r="B32" t="s">
        <v>122</v>
      </c>
      <c r="C32" t="s">
        <v>23</v>
      </c>
      <c r="D32" s="8" t="s">
        <v>24</v>
      </c>
      <c r="E32" s="9" t="s">
        <v>25</v>
      </c>
      <c r="F32" t="s">
        <v>26</v>
      </c>
      <c r="G32" s="2">
        <v>45615</v>
      </c>
      <c r="H32" t="s">
        <v>686</v>
      </c>
      <c r="I32" s="2">
        <v>45629</v>
      </c>
      <c r="J32" t="s">
        <v>691</v>
      </c>
    </row>
    <row r="33" spans="1:10" ht="15" customHeight="1">
      <c r="A33" t="s">
        <v>722</v>
      </c>
      <c r="B33" t="s">
        <v>124</v>
      </c>
      <c r="C33" t="s">
        <v>32</v>
      </c>
      <c r="D33" s="8" t="s">
        <v>33</v>
      </c>
      <c r="E33" s="9" t="s">
        <v>19</v>
      </c>
      <c r="F33" t="s">
        <v>34</v>
      </c>
      <c r="G33" s="2">
        <v>45621</v>
      </c>
      <c r="H33" t="s">
        <v>686</v>
      </c>
      <c r="I33" s="2">
        <v>45629</v>
      </c>
      <c r="J33" t="s">
        <v>700</v>
      </c>
    </row>
    <row r="34" spans="1:10" ht="15" customHeight="1">
      <c r="A34" t="s">
        <v>723</v>
      </c>
      <c r="B34" t="s">
        <v>125</v>
      </c>
      <c r="C34" t="s">
        <v>97</v>
      </c>
      <c r="D34" s="8" t="s">
        <v>18</v>
      </c>
      <c r="E34" s="9" t="s">
        <v>19</v>
      </c>
      <c r="F34" t="s">
        <v>30</v>
      </c>
      <c r="G34" s="2">
        <v>45648</v>
      </c>
      <c r="H34" t="s">
        <v>686</v>
      </c>
      <c r="I34" s="2">
        <v>45669</v>
      </c>
      <c r="J34" t="s">
        <v>689</v>
      </c>
    </row>
    <row r="35" spans="1:10" ht="15" customHeight="1">
      <c r="A35" t="s">
        <v>724</v>
      </c>
      <c r="B35" t="s">
        <v>127</v>
      </c>
      <c r="C35" t="s">
        <v>46</v>
      </c>
      <c r="D35" s="8" t="s">
        <v>24</v>
      </c>
      <c r="E35" s="9" t="s">
        <v>25</v>
      </c>
      <c r="F35" t="s">
        <v>34</v>
      </c>
      <c r="G35" s="2">
        <v>45643</v>
      </c>
      <c r="H35" t="s">
        <v>686</v>
      </c>
      <c r="I35" s="2">
        <v>45674</v>
      </c>
      <c r="J35" t="s">
        <v>700</v>
      </c>
    </row>
    <row r="36" spans="1:10" ht="15" customHeight="1">
      <c r="A36" t="s">
        <v>725</v>
      </c>
      <c r="B36" t="s">
        <v>129</v>
      </c>
      <c r="C36" t="s">
        <v>130</v>
      </c>
      <c r="D36" s="8" t="s">
        <v>71</v>
      </c>
      <c r="E36" s="9" t="s">
        <v>72</v>
      </c>
      <c r="F36" t="s">
        <v>43</v>
      </c>
      <c r="G36" s="2">
        <v>45655</v>
      </c>
      <c r="H36" t="s">
        <v>686</v>
      </c>
      <c r="I36" s="2">
        <v>45686</v>
      </c>
      <c r="J36" t="s">
        <v>695</v>
      </c>
    </row>
    <row r="37" spans="1:10" ht="15" customHeight="1">
      <c r="A37" t="s">
        <v>726</v>
      </c>
      <c r="B37" t="s">
        <v>148</v>
      </c>
      <c r="C37" t="s">
        <v>85</v>
      </c>
      <c r="D37" s="8" t="s">
        <v>71</v>
      </c>
      <c r="E37" s="9" t="s">
        <v>72</v>
      </c>
      <c r="F37" t="s">
        <v>43</v>
      </c>
      <c r="G37" s="2">
        <v>45698</v>
      </c>
      <c r="H37" t="s">
        <v>686</v>
      </c>
      <c r="I37" s="2">
        <v>45703</v>
      </c>
      <c r="J37" t="s">
        <v>695</v>
      </c>
    </row>
    <row r="38" spans="1:10" ht="15" customHeight="1">
      <c r="A38" t="s">
        <v>727</v>
      </c>
      <c r="B38" t="s">
        <v>151</v>
      </c>
      <c r="C38" t="s">
        <v>17</v>
      </c>
      <c r="D38" s="8" t="s">
        <v>18</v>
      </c>
      <c r="E38" s="9" t="s">
        <v>19</v>
      </c>
      <c r="F38" t="s">
        <v>34</v>
      </c>
      <c r="G38" s="2">
        <v>45686</v>
      </c>
      <c r="H38" t="s">
        <v>686</v>
      </c>
      <c r="I38" s="2">
        <v>45707</v>
      </c>
      <c r="J38" t="s">
        <v>695</v>
      </c>
    </row>
    <row r="39" spans="1:10" ht="15" customHeight="1">
      <c r="A39" t="s">
        <v>728</v>
      </c>
      <c r="B39" t="s">
        <v>155</v>
      </c>
      <c r="C39" t="s">
        <v>42</v>
      </c>
      <c r="D39" s="8" t="s">
        <v>24</v>
      </c>
      <c r="E39" s="9" t="s">
        <v>25</v>
      </c>
      <c r="F39" t="s">
        <v>43</v>
      </c>
      <c r="G39" s="2">
        <v>45641</v>
      </c>
      <c r="H39" t="s">
        <v>686</v>
      </c>
      <c r="I39" s="2">
        <v>45668</v>
      </c>
      <c r="J39" t="s">
        <v>689</v>
      </c>
    </row>
    <row r="40" spans="1:10" ht="15" customHeight="1">
      <c r="A40" t="s">
        <v>729</v>
      </c>
      <c r="B40" t="s">
        <v>156</v>
      </c>
      <c r="C40" t="s">
        <v>46</v>
      </c>
      <c r="D40" s="8" t="s">
        <v>24</v>
      </c>
      <c r="E40" s="9" t="s">
        <v>25</v>
      </c>
      <c r="F40" t="s">
        <v>34</v>
      </c>
      <c r="G40" s="2">
        <v>45645</v>
      </c>
      <c r="H40" t="s">
        <v>686</v>
      </c>
      <c r="I40" s="2">
        <v>45662</v>
      </c>
      <c r="J40" t="s">
        <v>689</v>
      </c>
    </row>
    <row r="41" spans="1:10" ht="15" customHeight="1">
      <c r="A41" t="s">
        <v>730</v>
      </c>
      <c r="B41" t="s">
        <v>157</v>
      </c>
      <c r="C41" t="s">
        <v>49</v>
      </c>
      <c r="D41" s="8" t="s">
        <v>33</v>
      </c>
      <c r="E41" s="9" t="s">
        <v>19</v>
      </c>
      <c r="F41" t="s">
        <v>30</v>
      </c>
      <c r="G41" s="2">
        <v>45685</v>
      </c>
      <c r="H41" t="s">
        <v>686</v>
      </c>
      <c r="I41" s="2">
        <v>45727</v>
      </c>
      <c r="J41" t="s">
        <v>695</v>
      </c>
    </row>
    <row r="42" spans="1:10" ht="15" customHeight="1">
      <c r="A42" t="s">
        <v>731</v>
      </c>
      <c r="B42" t="s">
        <v>164</v>
      </c>
      <c r="C42" t="s">
        <v>62</v>
      </c>
      <c r="D42" s="8" t="s">
        <v>33</v>
      </c>
      <c r="E42" s="9" t="s">
        <v>19</v>
      </c>
      <c r="F42" t="s">
        <v>34</v>
      </c>
      <c r="G42" s="2">
        <v>45686</v>
      </c>
      <c r="H42" t="s">
        <v>686</v>
      </c>
      <c r="I42" s="2">
        <v>45705</v>
      </c>
      <c r="J42" t="s">
        <v>689</v>
      </c>
    </row>
    <row r="43" spans="1:10" ht="15" customHeight="1">
      <c r="A43" t="s">
        <v>732</v>
      </c>
      <c r="B43" t="s">
        <v>166</v>
      </c>
      <c r="C43" t="s">
        <v>109</v>
      </c>
      <c r="D43" s="8" t="s">
        <v>24</v>
      </c>
      <c r="E43" s="9" t="s">
        <v>25</v>
      </c>
      <c r="F43" t="s">
        <v>26</v>
      </c>
      <c r="G43" s="2">
        <v>45653</v>
      </c>
      <c r="H43" t="s">
        <v>686</v>
      </c>
      <c r="I43" s="2">
        <v>45676</v>
      </c>
      <c r="J43" t="s">
        <v>700</v>
      </c>
    </row>
    <row r="44" spans="1:10" ht="15" customHeight="1">
      <c r="A44" t="s">
        <v>733</v>
      </c>
      <c r="B44" t="s">
        <v>169</v>
      </c>
      <c r="C44" t="s">
        <v>70</v>
      </c>
      <c r="D44" s="8" t="s">
        <v>71</v>
      </c>
      <c r="E44" s="9" t="s">
        <v>72</v>
      </c>
      <c r="F44" t="s">
        <v>26</v>
      </c>
      <c r="G44" s="2">
        <v>45693</v>
      </c>
      <c r="H44" t="s">
        <v>686</v>
      </c>
      <c r="I44" s="2">
        <v>45698</v>
      </c>
      <c r="J44" t="s">
        <v>687</v>
      </c>
    </row>
    <row r="45" spans="1:10" ht="15" customHeight="1">
      <c r="A45" t="s">
        <v>734</v>
      </c>
      <c r="B45" t="s">
        <v>171</v>
      </c>
      <c r="C45" t="s">
        <v>74</v>
      </c>
      <c r="D45" s="8" t="s">
        <v>75</v>
      </c>
      <c r="E45" s="9" t="s">
        <v>72</v>
      </c>
      <c r="F45" t="s">
        <v>30</v>
      </c>
      <c r="G45" s="2">
        <v>45692</v>
      </c>
      <c r="H45" t="s">
        <v>686</v>
      </c>
      <c r="I45" s="2">
        <v>45712</v>
      </c>
      <c r="J45" t="s">
        <v>700</v>
      </c>
    </row>
    <row r="46" spans="1:10" ht="15" customHeight="1">
      <c r="A46" t="s">
        <v>735</v>
      </c>
      <c r="B46" t="s">
        <v>175</v>
      </c>
      <c r="C46" t="s">
        <v>79</v>
      </c>
      <c r="D46" s="8" t="s">
        <v>33</v>
      </c>
      <c r="E46" s="9" t="s">
        <v>19</v>
      </c>
      <c r="F46" t="s">
        <v>20</v>
      </c>
      <c r="G46" s="2">
        <v>45719</v>
      </c>
      <c r="H46" t="s">
        <v>686</v>
      </c>
      <c r="I46" s="2">
        <v>45757</v>
      </c>
      <c r="J46" t="s">
        <v>695</v>
      </c>
    </row>
    <row r="47" spans="1:10" ht="15" customHeight="1">
      <c r="A47" t="s">
        <v>736</v>
      </c>
      <c r="B47" t="s">
        <v>179</v>
      </c>
      <c r="C47" t="s">
        <v>89</v>
      </c>
      <c r="D47" s="8" t="s">
        <v>24</v>
      </c>
      <c r="E47" s="9" t="s">
        <v>25</v>
      </c>
      <c r="F47" t="s">
        <v>34</v>
      </c>
      <c r="G47" s="2">
        <v>45668</v>
      </c>
      <c r="H47" t="s">
        <v>686</v>
      </c>
      <c r="I47" s="2">
        <v>45688</v>
      </c>
      <c r="J47" t="s">
        <v>691</v>
      </c>
    </row>
    <row r="48" spans="1:10" ht="15" customHeight="1">
      <c r="A48" t="s">
        <v>737</v>
      </c>
      <c r="B48" t="s">
        <v>180</v>
      </c>
      <c r="C48" t="s">
        <v>91</v>
      </c>
      <c r="D48" s="8" t="s">
        <v>24</v>
      </c>
      <c r="E48" s="9" t="s">
        <v>25</v>
      </c>
      <c r="F48" t="s">
        <v>60</v>
      </c>
      <c r="G48" s="2">
        <v>45712</v>
      </c>
      <c r="H48" t="s">
        <v>686</v>
      </c>
      <c r="I48" s="2">
        <v>45753</v>
      </c>
      <c r="J48" t="s">
        <v>691</v>
      </c>
    </row>
    <row r="49" spans="1:10" ht="15" customHeight="1">
      <c r="A49" t="s">
        <v>738</v>
      </c>
      <c r="B49" t="s">
        <v>182</v>
      </c>
      <c r="C49" t="s">
        <v>29</v>
      </c>
      <c r="D49" s="8" t="s">
        <v>24</v>
      </c>
      <c r="E49" s="9" t="s">
        <v>25</v>
      </c>
      <c r="F49" t="s">
        <v>60</v>
      </c>
      <c r="G49" s="2">
        <v>45692</v>
      </c>
      <c r="H49" t="s">
        <v>686</v>
      </c>
      <c r="I49" s="2">
        <v>45709</v>
      </c>
      <c r="J49" t="s">
        <v>687</v>
      </c>
    </row>
    <row r="50" spans="1:10" ht="15" customHeight="1">
      <c r="A50" t="s">
        <v>739</v>
      </c>
      <c r="B50" t="s">
        <v>183</v>
      </c>
      <c r="C50" t="s">
        <v>32</v>
      </c>
      <c r="D50" s="8" t="s">
        <v>33</v>
      </c>
      <c r="E50" s="9" t="s">
        <v>19</v>
      </c>
      <c r="F50" t="s">
        <v>34</v>
      </c>
      <c r="G50" s="2">
        <v>45704</v>
      </c>
      <c r="H50" t="s">
        <v>686</v>
      </c>
      <c r="I50" s="2">
        <v>45736</v>
      </c>
      <c r="J50" t="s">
        <v>691</v>
      </c>
    </row>
    <row r="51" spans="1:10" ht="15" customHeight="1">
      <c r="A51" t="s">
        <v>740</v>
      </c>
      <c r="B51" t="s">
        <v>184</v>
      </c>
      <c r="C51" t="s">
        <v>97</v>
      </c>
      <c r="D51" s="8" t="s">
        <v>18</v>
      </c>
      <c r="E51" s="9" t="s">
        <v>19</v>
      </c>
      <c r="F51" t="s">
        <v>30</v>
      </c>
      <c r="G51" s="2">
        <v>45725</v>
      </c>
      <c r="H51" t="s">
        <v>686</v>
      </c>
      <c r="I51" s="2">
        <v>45766</v>
      </c>
      <c r="J51" t="s">
        <v>700</v>
      </c>
    </row>
    <row r="52" spans="1:10" ht="15" customHeight="1">
      <c r="A52" t="s">
        <v>741</v>
      </c>
      <c r="B52" t="s">
        <v>192</v>
      </c>
      <c r="C52" t="s">
        <v>62</v>
      </c>
      <c r="D52" s="8" t="s">
        <v>33</v>
      </c>
      <c r="E52" s="9" t="s">
        <v>19</v>
      </c>
      <c r="F52" t="s">
        <v>34</v>
      </c>
      <c r="G52" s="2">
        <v>45687</v>
      </c>
      <c r="H52" t="s">
        <v>686</v>
      </c>
      <c r="I52" s="2">
        <v>45729</v>
      </c>
      <c r="J52" t="s">
        <v>700</v>
      </c>
    </row>
    <row r="53" spans="1:10" ht="15" customHeight="1">
      <c r="A53" t="s">
        <v>742</v>
      </c>
      <c r="B53" t="s">
        <v>200</v>
      </c>
      <c r="C53" t="s">
        <v>74</v>
      </c>
      <c r="D53" s="8" t="s">
        <v>75</v>
      </c>
      <c r="E53" s="9" t="s">
        <v>72</v>
      </c>
      <c r="F53" t="s">
        <v>30</v>
      </c>
      <c r="G53" s="2">
        <v>45728</v>
      </c>
      <c r="H53" t="s">
        <v>686</v>
      </c>
      <c r="I53" s="2">
        <v>45742</v>
      </c>
      <c r="J53" t="s">
        <v>689</v>
      </c>
    </row>
    <row r="54" spans="1:10" ht="15" customHeight="1">
      <c r="A54" t="s">
        <v>743</v>
      </c>
      <c r="B54" t="s">
        <v>202</v>
      </c>
      <c r="C54" t="s">
        <v>174</v>
      </c>
      <c r="D54" s="8" t="s">
        <v>71</v>
      </c>
      <c r="E54" s="9" t="s">
        <v>72</v>
      </c>
      <c r="F54" t="s">
        <v>60</v>
      </c>
      <c r="G54" s="2">
        <v>45721</v>
      </c>
      <c r="H54" t="s">
        <v>686</v>
      </c>
      <c r="I54" s="2">
        <v>45745</v>
      </c>
      <c r="J54" t="s">
        <v>700</v>
      </c>
    </row>
    <row r="55" spans="1:10" ht="15" customHeight="1">
      <c r="A55" t="s">
        <v>744</v>
      </c>
      <c r="B55" t="s">
        <v>205</v>
      </c>
      <c r="C55" t="s">
        <v>206</v>
      </c>
      <c r="D55" s="8" t="s">
        <v>71</v>
      </c>
      <c r="E55" s="9" t="s">
        <v>72</v>
      </c>
      <c r="F55" t="s">
        <v>20</v>
      </c>
      <c r="G55" s="2">
        <v>45741</v>
      </c>
      <c r="H55" t="s">
        <v>686</v>
      </c>
      <c r="I55" s="2">
        <v>45778</v>
      </c>
      <c r="J55" t="s">
        <v>687</v>
      </c>
    </row>
    <row r="56" spans="1:10" ht="15" customHeight="1">
      <c r="A56" t="s">
        <v>745</v>
      </c>
      <c r="B56" t="s">
        <v>212</v>
      </c>
      <c r="C56" t="s">
        <v>29</v>
      </c>
      <c r="D56" s="8" t="s">
        <v>24</v>
      </c>
      <c r="E56" s="9" t="s">
        <v>25</v>
      </c>
      <c r="F56" t="s">
        <v>30</v>
      </c>
      <c r="G56" s="2">
        <v>45741</v>
      </c>
      <c r="H56" t="s">
        <v>686</v>
      </c>
      <c r="I56" s="2">
        <v>45748</v>
      </c>
      <c r="J56" t="s">
        <v>700</v>
      </c>
    </row>
    <row r="57" spans="1:10" ht="15" customHeight="1">
      <c r="A57" t="s">
        <v>746</v>
      </c>
      <c r="B57" t="s">
        <v>213</v>
      </c>
      <c r="C57" t="s">
        <v>32</v>
      </c>
      <c r="D57" s="8" t="s">
        <v>33</v>
      </c>
      <c r="E57" s="9" t="s">
        <v>19</v>
      </c>
      <c r="F57" t="s">
        <v>34</v>
      </c>
      <c r="G57" s="2">
        <v>45755</v>
      </c>
      <c r="H57" t="s">
        <v>686</v>
      </c>
      <c r="I57" s="2">
        <v>45796</v>
      </c>
      <c r="J57" t="s">
        <v>695</v>
      </c>
    </row>
    <row r="58" spans="1:10" ht="15" customHeight="1">
      <c r="A58" t="s">
        <v>747</v>
      </c>
      <c r="B58" t="s">
        <v>214</v>
      </c>
      <c r="C58" t="s">
        <v>97</v>
      </c>
      <c r="D58" s="8" t="s">
        <v>18</v>
      </c>
      <c r="E58" s="9" t="s">
        <v>19</v>
      </c>
      <c r="F58" t="s">
        <v>30</v>
      </c>
      <c r="G58" s="2">
        <v>45768</v>
      </c>
      <c r="H58" t="s">
        <v>686</v>
      </c>
      <c r="I58" s="2">
        <v>45774</v>
      </c>
      <c r="J58" t="s">
        <v>687</v>
      </c>
    </row>
    <row r="59" spans="1:10" ht="15" customHeight="1">
      <c r="A59" t="s">
        <v>748</v>
      </c>
      <c r="B59" t="s">
        <v>214</v>
      </c>
      <c r="C59" t="s">
        <v>97</v>
      </c>
      <c r="D59" s="8" t="s">
        <v>18</v>
      </c>
      <c r="E59" s="9" t="s">
        <v>19</v>
      </c>
      <c r="F59" t="s">
        <v>30</v>
      </c>
      <c r="G59" s="2">
        <v>45707</v>
      </c>
      <c r="H59" t="s">
        <v>686</v>
      </c>
      <c r="I59" s="2">
        <v>45725</v>
      </c>
      <c r="J59" t="s">
        <v>695</v>
      </c>
    </row>
    <row r="60" spans="1:10" ht="15" customHeight="1">
      <c r="A60" t="s">
        <v>749</v>
      </c>
      <c r="B60" t="s">
        <v>216</v>
      </c>
      <c r="C60" t="s">
        <v>49</v>
      </c>
      <c r="D60" s="8" t="s">
        <v>33</v>
      </c>
      <c r="E60" s="9" t="s">
        <v>19</v>
      </c>
      <c r="F60" t="s">
        <v>30</v>
      </c>
      <c r="G60" s="2">
        <v>45758</v>
      </c>
      <c r="H60" t="s">
        <v>686</v>
      </c>
      <c r="I60" s="2">
        <v>45790</v>
      </c>
      <c r="J60" t="s">
        <v>689</v>
      </c>
    </row>
    <row r="61" spans="1:10" ht="15" customHeight="1">
      <c r="A61" t="s">
        <v>750</v>
      </c>
      <c r="B61" t="s">
        <v>218</v>
      </c>
      <c r="C61" t="s">
        <v>55</v>
      </c>
      <c r="D61" s="8" t="s">
        <v>33</v>
      </c>
      <c r="E61" s="9" t="s">
        <v>19</v>
      </c>
      <c r="F61" t="s">
        <v>30</v>
      </c>
      <c r="G61" s="2">
        <v>45782</v>
      </c>
      <c r="H61" t="s">
        <v>686</v>
      </c>
      <c r="I61" s="2">
        <v>45804</v>
      </c>
      <c r="J61" t="s">
        <v>691</v>
      </c>
    </row>
    <row r="62" spans="1:10" ht="15" customHeight="1">
      <c r="A62" t="s">
        <v>751</v>
      </c>
      <c r="B62" t="s">
        <v>220</v>
      </c>
      <c r="C62" t="s">
        <v>163</v>
      </c>
      <c r="D62" s="8" t="s">
        <v>71</v>
      </c>
      <c r="E62" s="9" t="s">
        <v>72</v>
      </c>
      <c r="F62" t="s">
        <v>26</v>
      </c>
      <c r="G62" s="2">
        <v>45723</v>
      </c>
      <c r="H62" t="s">
        <v>686</v>
      </c>
      <c r="I62" s="2">
        <v>45748</v>
      </c>
      <c r="J62" t="s">
        <v>687</v>
      </c>
    </row>
    <row r="63" spans="1:10" ht="15" customHeight="1">
      <c r="A63" t="s">
        <v>752</v>
      </c>
      <c r="B63" t="s">
        <v>224</v>
      </c>
      <c r="C63" t="s">
        <v>196</v>
      </c>
      <c r="D63" s="8" t="s">
        <v>71</v>
      </c>
      <c r="E63" s="9" t="s">
        <v>72</v>
      </c>
      <c r="F63" t="s">
        <v>43</v>
      </c>
      <c r="G63" s="2">
        <v>45723</v>
      </c>
      <c r="H63" t="s">
        <v>686</v>
      </c>
      <c r="I63" s="2">
        <v>45729</v>
      </c>
      <c r="J63" t="s">
        <v>687</v>
      </c>
    </row>
    <row r="64" spans="1:10" ht="15" customHeight="1">
      <c r="A64" t="s">
        <v>753</v>
      </c>
      <c r="B64" t="s">
        <v>225</v>
      </c>
      <c r="C64" t="s">
        <v>68</v>
      </c>
      <c r="D64" s="8" t="s">
        <v>24</v>
      </c>
      <c r="E64" s="9" t="s">
        <v>25</v>
      </c>
      <c r="F64" t="s">
        <v>30</v>
      </c>
      <c r="G64" s="2">
        <v>45738</v>
      </c>
      <c r="H64" t="s">
        <v>686</v>
      </c>
      <c r="I64" s="2">
        <v>45758</v>
      </c>
      <c r="J64" t="s">
        <v>689</v>
      </c>
    </row>
    <row r="65" spans="1:10" ht="15" customHeight="1">
      <c r="A65" t="s">
        <v>754</v>
      </c>
      <c r="B65" t="s">
        <v>226</v>
      </c>
      <c r="C65" t="s">
        <v>70</v>
      </c>
      <c r="D65" s="8" t="s">
        <v>71</v>
      </c>
      <c r="E65" s="9" t="s">
        <v>72</v>
      </c>
      <c r="F65" t="s">
        <v>26</v>
      </c>
      <c r="G65" s="2">
        <v>45759</v>
      </c>
      <c r="H65" t="s">
        <v>686</v>
      </c>
      <c r="I65" s="2">
        <v>45771</v>
      </c>
      <c r="J65" t="s">
        <v>689</v>
      </c>
    </row>
    <row r="66" spans="1:10" ht="15" customHeight="1">
      <c r="A66" t="s">
        <v>755</v>
      </c>
      <c r="B66" t="s">
        <v>231</v>
      </c>
      <c r="C66" t="s">
        <v>174</v>
      </c>
      <c r="D66" s="8" t="s">
        <v>71</v>
      </c>
      <c r="E66" s="9" t="s">
        <v>72</v>
      </c>
      <c r="F66" t="s">
        <v>60</v>
      </c>
      <c r="G66" s="2">
        <v>45724</v>
      </c>
      <c r="H66" t="s">
        <v>686</v>
      </c>
      <c r="I66" s="2">
        <v>45765</v>
      </c>
      <c r="J66" t="s">
        <v>700</v>
      </c>
    </row>
    <row r="67" spans="1:10" ht="15" customHeight="1">
      <c r="A67" t="s">
        <v>756</v>
      </c>
      <c r="B67" t="s">
        <v>232</v>
      </c>
      <c r="C67" t="s">
        <v>79</v>
      </c>
      <c r="D67" s="8" t="s">
        <v>33</v>
      </c>
      <c r="E67" s="9" t="s">
        <v>19</v>
      </c>
      <c r="F67" t="s">
        <v>20</v>
      </c>
      <c r="G67" s="2">
        <v>45802</v>
      </c>
      <c r="H67" t="s">
        <v>686</v>
      </c>
      <c r="I67" s="2">
        <v>45847</v>
      </c>
      <c r="J67" t="s">
        <v>687</v>
      </c>
    </row>
    <row r="68" spans="1:10" ht="15" customHeight="1">
      <c r="A68" t="s">
        <v>757</v>
      </c>
      <c r="B68" t="s">
        <v>233</v>
      </c>
      <c r="C68" t="s">
        <v>81</v>
      </c>
      <c r="D68" s="8" t="s">
        <v>71</v>
      </c>
      <c r="E68" s="9" t="s">
        <v>72</v>
      </c>
      <c r="F68" t="s">
        <v>26</v>
      </c>
      <c r="G68" s="2">
        <v>45764</v>
      </c>
      <c r="H68" t="s">
        <v>686</v>
      </c>
      <c r="I68" s="2">
        <v>45791</v>
      </c>
      <c r="J68" t="s">
        <v>687</v>
      </c>
    </row>
    <row r="69" spans="1:10" ht="15" customHeight="1">
      <c r="A69" t="s">
        <v>758</v>
      </c>
      <c r="B69" t="s">
        <v>241</v>
      </c>
      <c r="C69" t="s">
        <v>89</v>
      </c>
      <c r="D69" s="8" t="s">
        <v>24</v>
      </c>
      <c r="E69" s="9" t="s">
        <v>25</v>
      </c>
      <c r="F69" t="s">
        <v>43</v>
      </c>
      <c r="G69" s="2">
        <v>45755</v>
      </c>
      <c r="H69" t="s">
        <v>686</v>
      </c>
      <c r="I69" s="2">
        <v>45784</v>
      </c>
      <c r="J69" t="s">
        <v>700</v>
      </c>
    </row>
    <row r="70" spans="1:10" ht="15" customHeight="1">
      <c r="A70" t="s">
        <v>759</v>
      </c>
      <c r="B70" t="s">
        <v>243</v>
      </c>
      <c r="C70" t="s">
        <v>17</v>
      </c>
      <c r="D70" s="8" t="s">
        <v>18</v>
      </c>
      <c r="E70" s="9" t="s">
        <v>19</v>
      </c>
      <c r="F70" t="s">
        <v>34</v>
      </c>
      <c r="G70" s="2">
        <v>45804</v>
      </c>
      <c r="H70" t="s">
        <v>686</v>
      </c>
      <c r="I70" s="2">
        <v>45831</v>
      </c>
      <c r="J70" t="s">
        <v>687</v>
      </c>
    </row>
    <row r="71" spans="1:10" ht="15" customHeight="1">
      <c r="A71" t="s">
        <v>760</v>
      </c>
      <c r="B71" t="s">
        <v>245</v>
      </c>
      <c r="C71" t="s">
        <v>32</v>
      </c>
      <c r="D71" s="8" t="s">
        <v>33</v>
      </c>
      <c r="E71" s="9" t="s">
        <v>19</v>
      </c>
      <c r="F71" t="s">
        <v>34</v>
      </c>
      <c r="G71" s="2">
        <v>45766</v>
      </c>
      <c r="H71" t="s">
        <v>686</v>
      </c>
      <c r="I71" s="2">
        <v>45807</v>
      </c>
      <c r="J71" t="s">
        <v>691</v>
      </c>
    </row>
    <row r="72" spans="1:10" ht="15" customHeight="1">
      <c r="A72" t="s">
        <v>761</v>
      </c>
      <c r="B72" t="s">
        <v>246</v>
      </c>
      <c r="C72" t="s">
        <v>97</v>
      </c>
      <c r="D72" s="8" t="s">
        <v>18</v>
      </c>
      <c r="E72" s="9" t="s">
        <v>19</v>
      </c>
      <c r="F72" t="s">
        <v>26</v>
      </c>
      <c r="G72" s="2">
        <v>45791</v>
      </c>
      <c r="H72" t="s">
        <v>686</v>
      </c>
      <c r="I72" s="2">
        <v>45827</v>
      </c>
      <c r="J72" t="s">
        <v>700</v>
      </c>
    </row>
    <row r="73" spans="1:10" ht="15" customHeight="1">
      <c r="A73" t="s">
        <v>762</v>
      </c>
      <c r="B73" t="s">
        <v>247</v>
      </c>
      <c r="C73" t="s">
        <v>46</v>
      </c>
      <c r="D73" s="8" t="s">
        <v>24</v>
      </c>
      <c r="E73" s="9" t="s">
        <v>25</v>
      </c>
      <c r="F73" t="s">
        <v>20</v>
      </c>
      <c r="G73" s="2">
        <v>45760</v>
      </c>
      <c r="H73" t="s">
        <v>686</v>
      </c>
      <c r="I73" s="2">
        <v>45772</v>
      </c>
      <c r="J73" t="s">
        <v>695</v>
      </c>
    </row>
    <row r="74" spans="1:10" ht="15" customHeight="1">
      <c r="A74" t="s">
        <v>763</v>
      </c>
      <c r="B74" t="s">
        <v>249</v>
      </c>
      <c r="C74" t="s">
        <v>130</v>
      </c>
      <c r="D74" s="8" t="s">
        <v>71</v>
      </c>
      <c r="E74" s="9" t="s">
        <v>72</v>
      </c>
      <c r="F74" t="s">
        <v>20</v>
      </c>
      <c r="G74" s="2">
        <v>45804</v>
      </c>
      <c r="H74" t="s">
        <v>686</v>
      </c>
      <c r="I74" s="2">
        <v>45811</v>
      </c>
      <c r="J74" t="s">
        <v>695</v>
      </c>
    </row>
    <row r="75" spans="1:10" ht="15" customHeight="1">
      <c r="A75" t="s">
        <v>764</v>
      </c>
      <c r="B75" t="s">
        <v>249</v>
      </c>
      <c r="C75" t="s">
        <v>130</v>
      </c>
      <c r="D75" s="8" t="s">
        <v>71</v>
      </c>
      <c r="E75" s="9" t="s">
        <v>72</v>
      </c>
      <c r="F75" t="s">
        <v>20</v>
      </c>
      <c r="G75" s="2">
        <v>45745</v>
      </c>
      <c r="H75" t="s">
        <v>686</v>
      </c>
      <c r="I75" s="2">
        <v>45764</v>
      </c>
      <c r="J75" t="s">
        <v>700</v>
      </c>
    </row>
    <row r="76" spans="1:10" ht="15" customHeight="1">
      <c r="A76" t="s">
        <v>765</v>
      </c>
      <c r="B76" t="s">
        <v>252</v>
      </c>
      <c r="C76" t="s">
        <v>163</v>
      </c>
      <c r="D76" s="8" t="s">
        <v>71</v>
      </c>
      <c r="E76" s="9" t="s">
        <v>72</v>
      </c>
      <c r="F76" t="s">
        <v>26</v>
      </c>
      <c r="G76" s="2">
        <v>45802</v>
      </c>
      <c r="H76" t="s">
        <v>686</v>
      </c>
      <c r="I76" s="2">
        <v>45842</v>
      </c>
      <c r="J76" t="s">
        <v>695</v>
      </c>
    </row>
    <row r="77" spans="1:10" ht="15" customHeight="1">
      <c r="A77" t="s">
        <v>766</v>
      </c>
      <c r="B77" t="s">
        <v>253</v>
      </c>
      <c r="C77" t="s">
        <v>64</v>
      </c>
      <c r="D77" s="8" t="s">
        <v>24</v>
      </c>
      <c r="E77" s="9" t="s">
        <v>25</v>
      </c>
      <c r="F77" t="s">
        <v>20</v>
      </c>
      <c r="G77" s="2">
        <v>45775</v>
      </c>
      <c r="H77" t="s">
        <v>686</v>
      </c>
      <c r="I77" s="2">
        <v>45780</v>
      </c>
      <c r="J77" t="s">
        <v>700</v>
      </c>
    </row>
    <row r="78" spans="1:10" ht="15" customHeight="1">
      <c r="A78" t="s">
        <v>767</v>
      </c>
      <c r="B78" t="s">
        <v>253</v>
      </c>
      <c r="C78" t="s">
        <v>64</v>
      </c>
      <c r="D78" s="8" t="s">
        <v>24</v>
      </c>
      <c r="E78" s="9" t="s">
        <v>25</v>
      </c>
      <c r="F78" t="s">
        <v>20</v>
      </c>
      <c r="G78" s="2">
        <v>45767</v>
      </c>
      <c r="H78" t="s">
        <v>686</v>
      </c>
      <c r="I78" s="2">
        <v>45812</v>
      </c>
      <c r="J78" t="s">
        <v>689</v>
      </c>
    </row>
    <row r="79" spans="1:10" ht="15" customHeight="1">
      <c r="A79" t="s">
        <v>768</v>
      </c>
      <c r="B79" t="s">
        <v>256</v>
      </c>
      <c r="C79" t="s">
        <v>68</v>
      </c>
      <c r="D79" s="8" t="s">
        <v>24</v>
      </c>
      <c r="E79" s="9" t="s">
        <v>25</v>
      </c>
      <c r="F79" t="s">
        <v>30</v>
      </c>
      <c r="G79" s="2">
        <v>45765</v>
      </c>
      <c r="H79" t="s">
        <v>686</v>
      </c>
      <c r="I79" s="2">
        <v>45788</v>
      </c>
      <c r="J79" t="s">
        <v>691</v>
      </c>
    </row>
    <row r="80" spans="1:10" ht="15" customHeight="1">
      <c r="A80" t="s">
        <v>769</v>
      </c>
      <c r="B80" t="s">
        <v>256</v>
      </c>
      <c r="C80" t="s">
        <v>68</v>
      </c>
      <c r="D80" s="8" t="s">
        <v>24</v>
      </c>
      <c r="E80" s="9" t="s">
        <v>25</v>
      </c>
      <c r="F80" t="s">
        <v>30</v>
      </c>
      <c r="G80" s="2">
        <v>45753</v>
      </c>
      <c r="H80" t="s">
        <v>686</v>
      </c>
      <c r="I80" s="2">
        <v>45773</v>
      </c>
      <c r="J80" t="s">
        <v>700</v>
      </c>
    </row>
    <row r="81" spans="1:10" ht="15" customHeight="1">
      <c r="A81" t="s">
        <v>770</v>
      </c>
      <c r="B81" t="s">
        <v>261</v>
      </c>
      <c r="C81" t="s">
        <v>174</v>
      </c>
      <c r="D81" s="8" t="s">
        <v>71</v>
      </c>
      <c r="E81" s="9" t="s">
        <v>72</v>
      </c>
      <c r="F81" t="s">
        <v>60</v>
      </c>
      <c r="G81" s="2">
        <v>45762</v>
      </c>
      <c r="H81" t="s">
        <v>686</v>
      </c>
      <c r="I81" s="2">
        <v>45773</v>
      </c>
      <c r="J81" t="s">
        <v>691</v>
      </c>
    </row>
    <row r="82" spans="1:10" ht="15" customHeight="1">
      <c r="A82" t="s">
        <v>771</v>
      </c>
      <c r="B82" t="s">
        <v>271</v>
      </c>
      <c r="C82" t="s">
        <v>17</v>
      </c>
      <c r="D82" s="8" t="s">
        <v>18</v>
      </c>
      <c r="E82" s="9" t="s">
        <v>19</v>
      </c>
      <c r="F82" t="s">
        <v>34</v>
      </c>
      <c r="G82" s="2">
        <v>45819</v>
      </c>
      <c r="H82" t="s">
        <v>686</v>
      </c>
      <c r="I82" s="2">
        <v>45835</v>
      </c>
      <c r="J82" t="s">
        <v>700</v>
      </c>
    </row>
    <row r="83" spans="1:10" ht="15" customHeight="1">
      <c r="A83" t="s">
        <v>772</v>
      </c>
      <c r="B83" t="s">
        <v>271</v>
      </c>
      <c r="C83" t="s">
        <v>17</v>
      </c>
      <c r="D83" s="8" t="s">
        <v>18</v>
      </c>
      <c r="E83" s="9" t="s">
        <v>19</v>
      </c>
      <c r="F83" t="s">
        <v>34</v>
      </c>
      <c r="G83" s="2">
        <v>45803</v>
      </c>
      <c r="H83" t="s">
        <v>686</v>
      </c>
      <c r="I83" s="2">
        <v>45836</v>
      </c>
      <c r="J83" t="s">
        <v>691</v>
      </c>
    </row>
    <row r="84" spans="1:10" ht="15" customHeight="1">
      <c r="A84" t="s">
        <v>773</v>
      </c>
      <c r="B84" t="s">
        <v>272</v>
      </c>
      <c r="C84" t="s">
        <v>273</v>
      </c>
      <c r="D84" s="8" t="s">
        <v>24</v>
      </c>
      <c r="E84" s="9" t="s">
        <v>25</v>
      </c>
      <c r="F84" t="s">
        <v>43</v>
      </c>
      <c r="G84" s="2">
        <v>45848</v>
      </c>
      <c r="H84" t="s">
        <v>686</v>
      </c>
      <c r="I84" s="2">
        <v>45871</v>
      </c>
      <c r="J84" t="s">
        <v>695</v>
      </c>
    </row>
    <row r="85" spans="1:10" ht="15" customHeight="1">
      <c r="A85" t="s">
        <v>774</v>
      </c>
      <c r="B85" t="s">
        <v>272</v>
      </c>
      <c r="C85" t="s">
        <v>273</v>
      </c>
      <c r="D85" s="8" t="s">
        <v>24</v>
      </c>
      <c r="E85" s="9" t="s">
        <v>25</v>
      </c>
      <c r="F85" t="s">
        <v>43</v>
      </c>
      <c r="G85" s="2">
        <v>45779</v>
      </c>
      <c r="H85" t="s">
        <v>686</v>
      </c>
      <c r="I85" s="2">
        <v>45810</v>
      </c>
      <c r="J85" t="s">
        <v>695</v>
      </c>
    </row>
    <row r="86" spans="1:10" ht="15" customHeight="1">
      <c r="A86" t="s">
        <v>775</v>
      </c>
      <c r="B86" t="s">
        <v>275</v>
      </c>
      <c r="C86" t="s">
        <v>32</v>
      </c>
      <c r="D86" s="8" t="s">
        <v>33</v>
      </c>
      <c r="E86" s="9" t="s">
        <v>19</v>
      </c>
      <c r="F86" t="s">
        <v>34</v>
      </c>
      <c r="G86" s="2">
        <v>45805</v>
      </c>
      <c r="H86" t="s">
        <v>686</v>
      </c>
      <c r="I86" s="2">
        <v>45835</v>
      </c>
      <c r="J86" t="s">
        <v>691</v>
      </c>
    </row>
    <row r="87" spans="1:10" ht="15" customHeight="1">
      <c r="A87" t="s">
        <v>776</v>
      </c>
      <c r="B87" t="s">
        <v>276</v>
      </c>
      <c r="C87" t="s">
        <v>97</v>
      </c>
      <c r="D87" s="8" t="s">
        <v>18</v>
      </c>
      <c r="E87" s="9" t="s">
        <v>19</v>
      </c>
      <c r="F87" t="s">
        <v>30</v>
      </c>
      <c r="G87" s="2">
        <v>45807</v>
      </c>
      <c r="H87" t="s">
        <v>686</v>
      </c>
      <c r="I87" s="2">
        <v>45834</v>
      </c>
      <c r="J87" t="s">
        <v>689</v>
      </c>
    </row>
    <row r="88" spans="1:10" ht="15" customHeight="1">
      <c r="A88" t="s">
        <v>777</v>
      </c>
      <c r="B88" t="s">
        <v>276</v>
      </c>
      <c r="C88" t="s">
        <v>97</v>
      </c>
      <c r="D88" s="8" t="s">
        <v>18</v>
      </c>
      <c r="E88" s="9" t="s">
        <v>19</v>
      </c>
      <c r="F88" t="s">
        <v>30</v>
      </c>
      <c r="G88" s="2">
        <v>45844</v>
      </c>
      <c r="H88" t="s">
        <v>686</v>
      </c>
      <c r="I88" s="2">
        <v>45876</v>
      </c>
      <c r="J88" t="s">
        <v>700</v>
      </c>
    </row>
    <row r="89" spans="1:10" ht="15" customHeight="1">
      <c r="A89" t="s">
        <v>778</v>
      </c>
      <c r="B89" t="s">
        <v>278</v>
      </c>
      <c r="C89" t="s">
        <v>49</v>
      </c>
      <c r="D89" s="8" t="s">
        <v>33</v>
      </c>
      <c r="E89" s="9" t="s">
        <v>19</v>
      </c>
      <c r="F89" t="s">
        <v>30</v>
      </c>
      <c r="G89" s="2">
        <v>45850</v>
      </c>
      <c r="H89" t="s">
        <v>686</v>
      </c>
      <c r="I89" s="2">
        <v>45872</v>
      </c>
      <c r="J89" t="s">
        <v>691</v>
      </c>
    </row>
    <row r="90" spans="1:10" ht="15" customHeight="1">
      <c r="A90" t="s">
        <v>779</v>
      </c>
      <c r="B90" t="s">
        <v>279</v>
      </c>
      <c r="C90" t="s">
        <v>130</v>
      </c>
      <c r="D90" s="8" t="s">
        <v>71</v>
      </c>
      <c r="E90" s="9" t="s">
        <v>72</v>
      </c>
      <c r="F90" t="s">
        <v>43</v>
      </c>
      <c r="G90" s="2">
        <v>45847</v>
      </c>
      <c r="H90" t="s">
        <v>686</v>
      </c>
      <c r="I90" s="2">
        <v>45859</v>
      </c>
      <c r="J90" t="s">
        <v>700</v>
      </c>
    </row>
    <row r="91" spans="1:10" ht="15" customHeight="1">
      <c r="A91" t="s">
        <v>780</v>
      </c>
      <c r="B91" t="s">
        <v>282</v>
      </c>
      <c r="C91" t="s">
        <v>163</v>
      </c>
      <c r="D91" s="8" t="s">
        <v>71</v>
      </c>
      <c r="E91" s="9" t="s">
        <v>72</v>
      </c>
      <c r="F91" t="s">
        <v>26</v>
      </c>
      <c r="G91" s="2">
        <v>45805</v>
      </c>
      <c r="H91" t="s">
        <v>686</v>
      </c>
      <c r="I91" s="2">
        <v>45847</v>
      </c>
      <c r="J91" t="s">
        <v>687</v>
      </c>
    </row>
    <row r="92" spans="1:10" ht="15" customHeight="1">
      <c r="A92" t="s">
        <v>781</v>
      </c>
      <c r="B92" t="s">
        <v>285</v>
      </c>
      <c r="C92" t="s">
        <v>196</v>
      </c>
      <c r="D92" s="8" t="s">
        <v>71</v>
      </c>
      <c r="E92" s="9" t="s">
        <v>72</v>
      </c>
      <c r="F92" t="s">
        <v>43</v>
      </c>
      <c r="G92" s="2">
        <v>45825</v>
      </c>
      <c r="H92" t="s">
        <v>686</v>
      </c>
      <c r="I92" s="2">
        <v>45864</v>
      </c>
      <c r="J92" t="s">
        <v>687</v>
      </c>
    </row>
    <row r="93" spans="1:10" ht="15" customHeight="1">
      <c r="A93" t="s">
        <v>782</v>
      </c>
      <c r="B93" t="s">
        <v>289</v>
      </c>
      <c r="C93" t="s">
        <v>77</v>
      </c>
      <c r="D93" s="8" t="s">
        <v>33</v>
      </c>
      <c r="E93" s="9" t="s">
        <v>19</v>
      </c>
      <c r="F93" t="s">
        <v>20</v>
      </c>
      <c r="G93" s="2">
        <v>45849</v>
      </c>
      <c r="H93" t="s">
        <v>686</v>
      </c>
      <c r="I93" s="2">
        <v>45877</v>
      </c>
      <c r="J93" t="s">
        <v>689</v>
      </c>
    </row>
    <row r="94" spans="1:10" ht="15" customHeight="1">
      <c r="A94" t="s">
        <v>783</v>
      </c>
      <c r="B94" t="s">
        <v>292</v>
      </c>
      <c r="C94" t="s">
        <v>81</v>
      </c>
      <c r="D94" s="8" t="s">
        <v>71</v>
      </c>
      <c r="E94" s="9" t="s">
        <v>72</v>
      </c>
      <c r="F94" t="s">
        <v>26</v>
      </c>
      <c r="G94" s="2">
        <v>45814</v>
      </c>
      <c r="H94" t="s">
        <v>686</v>
      </c>
      <c r="I94" s="2">
        <v>45832</v>
      </c>
      <c r="J94" t="s">
        <v>700</v>
      </c>
    </row>
    <row r="95" spans="1:10" ht="15" customHeight="1">
      <c r="A95" t="s">
        <v>784</v>
      </c>
      <c r="B95" t="s">
        <v>296</v>
      </c>
      <c r="C95" t="s">
        <v>85</v>
      </c>
      <c r="D95" s="8" t="s">
        <v>71</v>
      </c>
      <c r="E95" s="9" t="s">
        <v>72</v>
      </c>
      <c r="F95" t="s">
        <v>43</v>
      </c>
      <c r="G95" s="2">
        <v>45795</v>
      </c>
      <c r="H95" t="s">
        <v>686</v>
      </c>
      <c r="I95" s="2">
        <v>45808</v>
      </c>
      <c r="J95" t="s">
        <v>700</v>
      </c>
    </row>
    <row r="96" spans="1:10" ht="15" customHeight="1">
      <c r="A96" t="s">
        <v>785</v>
      </c>
      <c r="B96" t="s">
        <v>299</v>
      </c>
      <c r="C96" t="s">
        <v>91</v>
      </c>
      <c r="D96" s="8" t="s">
        <v>24</v>
      </c>
      <c r="E96" s="9" t="s">
        <v>25</v>
      </c>
      <c r="F96" t="s">
        <v>60</v>
      </c>
      <c r="G96" s="2">
        <v>45840</v>
      </c>
      <c r="H96" t="s">
        <v>686</v>
      </c>
      <c r="I96" s="2">
        <v>45853</v>
      </c>
      <c r="J96" t="s">
        <v>687</v>
      </c>
    </row>
    <row r="97" spans="1:10" ht="15" customHeight="1">
      <c r="A97" t="s">
        <v>786</v>
      </c>
      <c r="B97" t="s">
        <v>302</v>
      </c>
      <c r="C97" t="s">
        <v>29</v>
      </c>
      <c r="D97" s="8" t="s">
        <v>24</v>
      </c>
      <c r="E97" s="9" t="s">
        <v>25</v>
      </c>
      <c r="F97" t="s">
        <v>60</v>
      </c>
      <c r="G97" s="2">
        <v>45807</v>
      </c>
      <c r="H97" t="s">
        <v>686</v>
      </c>
      <c r="I97" s="2">
        <v>45825</v>
      </c>
      <c r="J97" t="s">
        <v>691</v>
      </c>
    </row>
    <row r="98" spans="1:10" ht="15" customHeight="1">
      <c r="A98" t="s">
        <v>787</v>
      </c>
      <c r="B98" t="s">
        <v>306</v>
      </c>
      <c r="C98" t="s">
        <v>46</v>
      </c>
      <c r="D98" s="8" t="s">
        <v>24</v>
      </c>
      <c r="E98" s="9" t="s">
        <v>25</v>
      </c>
      <c r="F98" t="s">
        <v>34</v>
      </c>
      <c r="G98" s="2">
        <v>45813</v>
      </c>
      <c r="H98" t="s">
        <v>686</v>
      </c>
      <c r="I98" s="2">
        <v>45836</v>
      </c>
      <c r="J98" t="s">
        <v>695</v>
      </c>
    </row>
    <row r="99" spans="1:10" ht="15" customHeight="1">
      <c r="A99" t="s">
        <v>788</v>
      </c>
      <c r="B99" t="s">
        <v>320</v>
      </c>
      <c r="C99" t="s">
        <v>81</v>
      </c>
      <c r="D99" s="8" t="s">
        <v>71</v>
      </c>
      <c r="E99" s="9" t="s">
        <v>72</v>
      </c>
      <c r="F99" t="s">
        <v>26</v>
      </c>
      <c r="G99" s="2">
        <v>45876</v>
      </c>
      <c r="H99" t="s">
        <v>686</v>
      </c>
      <c r="I99" s="2">
        <v>45908</v>
      </c>
      <c r="J99" t="s">
        <v>700</v>
      </c>
    </row>
    <row r="100" spans="1:10" ht="15" customHeight="1">
      <c r="A100" t="s">
        <v>789</v>
      </c>
      <c r="B100" t="s">
        <v>321</v>
      </c>
      <c r="C100" t="s">
        <v>206</v>
      </c>
      <c r="D100" s="8" t="s">
        <v>71</v>
      </c>
      <c r="E100" s="9" t="s">
        <v>72</v>
      </c>
      <c r="F100" t="s">
        <v>34</v>
      </c>
      <c r="G100" s="2">
        <v>45851</v>
      </c>
      <c r="H100" t="s">
        <v>686</v>
      </c>
      <c r="I100" s="2">
        <v>45865</v>
      </c>
      <c r="J100" t="s">
        <v>687</v>
      </c>
    </row>
    <row r="101" spans="1:10" ht="15" customHeight="1">
      <c r="A101" t="s">
        <v>790</v>
      </c>
      <c r="B101" t="s">
        <v>322</v>
      </c>
      <c r="C101" t="s">
        <v>295</v>
      </c>
      <c r="D101" s="8" t="s">
        <v>33</v>
      </c>
      <c r="E101" s="9" t="s">
        <v>19</v>
      </c>
      <c r="F101" t="s">
        <v>30</v>
      </c>
      <c r="G101" s="2">
        <v>45897</v>
      </c>
      <c r="H101" t="s">
        <v>686</v>
      </c>
      <c r="I101" s="2">
        <v>45917</v>
      </c>
      <c r="J101" t="s">
        <v>695</v>
      </c>
    </row>
    <row r="102" spans="1:10" ht="15" customHeight="1">
      <c r="A102" t="s">
        <v>791</v>
      </c>
      <c r="B102" t="s">
        <v>331</v>
      </c>
      <c r="C102" t="s">
        <v>97</v>
      </c>
      <c r="D102" s="8" t="s">
        <v>18</v>
      </c>
      <c r="E102" s="9" t="s">
        <v>19</v>
      </c>
      <c r="F102" t="s">
        <v>30</v>
      </c>
      <c r="G102" s="2">
        <v>45890</v>
      </c>
      <c r="H102" t="s">
        <v>686</v>
      </c>
      <c r="I102" s="2">
        <v>45911</v>
      </c>
      <c r="J102" t="s">
        <v>700</v>
      </c>
    </row>
    <row r="103" spans="1:10" ht="15" customHeight="1">
      <c r="A103" t="s">
        <v>792</v>
      </c>
      <c r="B103" t="s">
        <v>337</v>
      </c>
      <c r="C103" t="s">
        <v>55</v>
      </c>
      <c r="D103" s="8" t="s">
        <v>33</v>
      </c>
      <c r="E103" s="9" t="s">
        <v>19</v>
      </c>
      <c r="F103" t="s">
        <v>30</v>
      </c>
      <c r="G103" s="2">
        <v>45913</v>
      </c>
      <c r="H103" t="s">
        <v>686</v>
      </c>
      <c r="I103" s="2">
        <v>45938</v>
      </c>
      <c r="J103" t="s">
        <v>691</v>
      </c>
    </row>
    <row r="104" spans="1:10" ht="15" customHeight="1">
      <c r="A104" t="s">
        <v>793</v>
      </c>
      <c r="B104" t="s">
        <v>341</v>
      </c>
      <c r="C104" t="s">
        <v>109</v>
      </c>
      <c r="D104" s="8" t="s">
        <v>24</v>
      </c>
      <c r="E104" s="9" t="s">
        <v>25</v>
      </c>
      <c r="F104" t="s">
        <v>26</v>
      </c>
      <c r="G104" s="2">
        <v>45925</v>
      </c>
      <c r="H104" t="s">
        <v>686</v>
      </c>
      <c r="I104" s="2">
        <v>45939</v>
      </c>
      <c r="J104" t="s">
        <v>687</v>
      </c>
    </row>
    <row r="105" spans="1:10" ht="15" customHeight="1">
      <c r="A105" t="s">
        <v>794</v>
      </c>
      <c r="B105" t="s">
        <v>345</v>
      </c>
      <c r="C105" t="s">
        <v>229</v>
      </c>
      <c r="D105" s="8" t="s">
        <v>33</v>
      </c>
      <c r="E105" s="9" t="s">
        <v>19</v>
      </c>
      <c r="F105" t="s">
        <v>60</v>
      </c>
      <c r="G105" s="2">
        <v>45930</v>
      </c>
      <c r="H105" t="s">
        <v>686</v>
      </c>
      <c r="I105" s="2">
        <v>45952</v>
      </c>
      <c r="J105" t="s">
        <v>700</v>
      </c>
    </row>
    <row r="106" spans="1:10" ht="15" customHeight="1">
      <c r="A106" t="s">
        <v>795</v>
      </c>
      <c r="B106" t="s">
        <v>346</v>
      </c>
      <c r="C106" t="s">
        <v>174</v>
      </c>
      <c r="D106" s="8" t="s">
        <v>71</v>
      </c>
      <c r="E106" s="9" t="s">
        <v>72</v>
      </c>
      <c r="F106" t="s">
        <v>60</v>
      </c>
      <c r="G106" s="2">
        <v>45895</v>
      </c>
      <c r="H106" t="s">
        <v>686</v>
      </c>
      <c r="I106" s="2">
        <v>45909</v>
      </c>
      <c r="J106" t="s">
        <v>687</v>
      </c>
    </row>
    <row r="107" spans="1:10" ht="15" customHeight="1">
      <c r="A107" t="s">
        <v>796</v>
      </c>
      <c r="B107" t="s">
        <v>349</v>
      </c>
      <c r="C107" t="s">
        <v>295</v>
      </c>
      <c r="D107" s="8" t="s">
        <v>33</v>
      </c>
      <c r="E107" s="9" t="s">
        <v>19</v>
      </c>
      <c r="F107" t="s">
        <v>30</v>
      </c>
      <c r="G107" s="2">
        <v>45898</v>
      </c>
      <c r="H107" t="s">
        <v>686</v>
      </c>
      <c r="I107" s="2">
        <v>45912</v>
      </c>
      <c r="J107" t="s">
        <v>687</v>
      </c>
    </row>
    <row r="108" spans="1:10" ht="15" customHeight="1">
      <c r="A108" t="s">
        <v>797</v>
      </c>
      <c r="B108" t="s">
        <v>349</v>
      </c>
      <c r="C108" t="s">
        <v>295</v>
      </c>
      <c r="D108" s="8" t="s">
        <v>33</v>
      </c>
      <c r="E108" s="9" t="s">
        <v>19</v>
      </c>
      <c r="F108" t="s">
        <v>30</v>
      </c>
      <c r="G108" s="2">
        <v>45928</v>
      </c>
      <c r="H108" t="s">
        <v>686</v>
      </c>
      <c r="I108" s="2">
        <v>45948</v>
      </c>
      <c r="J108" t="s">
        <v>691</v>
      </c>
    </row>
    <row r="109" spans="1:10" ht="15" customHeight="1">
      <c r="A109" t="s">
        <v>798</v>
      </c>
      <c r="B109" t="s">
        <v>352</v>
      </c>
      <c r="C109" t="s">
        <v>87</v>
      </c>
      <c r="D109" s="8" t="s">
        <v>71</v>
      </c>
      <c r="E109" s="9" t="s">
        <v>72</v>
      </c>
      <c r="F109" t="s">
        <v>20</v>
      </c>
      <c r="G109" s="2">
        <v>45873</v>
      </c>
      <c r="H109" t="s">
        <v>686</v>
      </c>
      <c r="I109" s="2">
        <v>45889</v>
      </c>
      <c r="J109" t="s">
        <v>700</v>
      </c>
    </row>
    <row r="110" spans="1:10" ht="15" customHeight="1">
      <c r="A110" t="s">
        <v>799</v>
      </c>
      <c r="B110" t="s">
        <v>355</v>
      </c>
      <c r="C110" t="s">
        <v>273</v>
      </c>
      <c r="D110" s="8" t="s">
        <v>24</v>
      </c>
      <c r="E110" s="9" t="s">
        <v>25</v>
      </c>
      <c r="F110" t="s">
        <v>20</v>
      </c>
      <c r="G110" s="2">
        <v>45881</v>
      </c>
      <c r="H110" t="s">
        <v>686</v>
      </c>
      <c r="I110" s="2">
        <v>45893</v>
      </c>
      <c r="J110" t="s">
        <v>687</v>
      </c>
    </row>
    <row r="111" spans="1:10" ht="15" customHeight="1">
      <c r="A111" t="s">
        <v>800</v>
      </c>
      <c r="B111" t="s">
        <v>355</v>
      </c>
      <c r="C111" t="s">
        <v>273</v>
      </c>
      <c r="D111" s="8" t="s">
        <v>24</v>
      </c>
      <c r="E111" s="9" t="s">
        <v>25</v>
      </c>
      <c r="F111" t="s">
        <v>20</v>
      </c>
      <c r="G111" s="2">
        <v>45867</v>
      </c>
      <c r="H111" t="s">
        <v>686</v>
      </c>
      <c r="I111" s="2">
        <v>45879</v>
      </c>
      <c r="J111" t="s">
        <v>700</v>
      </c>
    </row>
    <row r="112" spans="1:10" ht="15" customHeight="1">
      <c r="A112" t="s">
        <v>801</v>
      </c>
      <c r="B112" t="s">
        <v>356</v>
      </c>
      <c r="C112" t="s">
        <v>23</v>
      </c>
      <c r="D112" s="8" t="s">
        <v>24</v>
      </c>
      <c r="E112" s="9" t="s">
        <v>25</v>
      </c>
      <c r="F112" t="s">
        <v>60</v>
      </c>
      <c r="G112" s="2">
        <v>45937</v>
      </c>
      <c r="H112" t="s">
        <v>686</v>
      </c>
      <c r="I112" s="2">
        <v>45942</v>
      </c>
      <c r="J112" t="s">
        <v>695</v>
      </c>
    </row>
    <row r="113" spans="1:10" ht="15" customHeight="1">
      <c r="A113" t="s">
        <v>802</v>
      </c>
      <c r="B113" t="s">
        <v>356</v>
      </c>
      <c r="C113" t="s">
        <v>23</v>
      </c>
      <c r="D113" s="8" t="s">
        <v>24</v>
      </c>
      <c r="E113" s="9" t="s">
        <v>25</v>
      </c>
      <c r="F113" t="s">
        <v>60</v>
      </c>
      <c r="G113" s="2">
        <v>45920</v>
      </c>
      <c r="H113" t="s">
        <v>686</v>
      </c>
      <c r="I113" s="2">
        <v>45929</v>
      </c>
      <c r="J113" t="s">
        <v>687</v>
      </c>
    </row>
    <row r="114" spans="1:10" ht="15" customHeight="1">
      <c r="A114" t="s">
        <v>803</v>
      </c>
      <c r="B114" t="s">
        <v>358</v>
      </c>
      <c r="C114" t="s">
        <v>97</v>
      </c>
      <c r="D114" s="8" t="s">
        <v>18</v>
      </c>
      <c r="E114" s="9" t="s">
        <v>19</v>
      </c>
      <c r="F114" t="s">
        <v>30</v>
      </c>
      <c r="G114" s="2">
        <v>45946</v>
      </c>
      <c r="H114" t="s">
        <v>686</v>
      </c>
      <c r="I114" s="2">
        <v>45967</v>
      </c>
      <c r="J114" t="s">
        <v>695</v>
      </c>
    </row>
    <row r="115" spans="1:10" ht="15" customHeight="1">
      <c r="A115" t="s">
        <v>804</v>
      </c>
      <c r="B115" t="s">
        <v>361</v>
      </c>
      <c r="C115" t="s">
        <v>49</v>
      </c>
      <c r="D115" s="8" t="s">
        <v>33</v>
      </c>
      <c r="E115" s="9" t="s">
        <v>19</v>
      </c>
      <c r="F115" t="s">
        <v>30</v>
      </c>
      <c r="G115" s="2">
        <v>45952</v>
      </c>
      <c r="H115" t="s">
        <v>686</v>
      </c>
      <c r="I115" s="2">
        <v>45968</v>
      </c>
      <c r="J115" t="s">
        <v>687</v>
      </c>
    </row>
    <row r="116" spans="1:10" ht="15" customHeight="1">
      <c r="A116" t="s">
        <v>805</v>
      </c>
      <c r="B116" t="s">
        <v>363</v>
      </c>
      <c r="C116" t="s">
        <v>51</v>
      </c>
      <c r="D116" s="8" t="s">
        <v>38</v>
      </c>
      <c r="E116" s="9" t="s">
        <v>39</v>
      </c>
      <c r="F116" t="s">
        <v>43</v>
      </c>
      <c r="G116" s="2">
        <v>45889</v>
      </c>
      <c r="H116" t="s">
        <v>686</v>
      </c>
      <c r="I116" s="2">
        <v>45933</v>
      </c>
      <c r="J116" t="s">
        <v>700</v>
      </c>
    </row>
    <row r="117" spans="1:10" ht="15" customHeight="1">
      <c r="A117" t="s">
        <v>806</v>
      </c>
      <c r="B117" t="s">
        <v>364</v>
      </c>
      <c r="C117" t="s">
        <v>55</v>
      </c>
      <c r="D117" s="8" t="s">
        <v>33</v>
      </c>
      <c r="E117" s="9" t="s">
        <v>19</v>
      </c>
      <c r="F117" t="s">
        <v>30</v>
      </c>
      <c r="G117" s="2">
        <v>45931</v>
      </c>
      <c r="H117" t="s">
        <v>686</v>
      </c>
      <c r="I117" s="2">
        <v>45964</v>
      </c>
      <c r="J117" t="s">
        <v>695</v>
      </c>
    </row>
    <row r="118" spans="1:10" ht="15" customHeight="1">
      <c r="A118" t="s">
        <v>807</v>
      </c>
      <c r="B118" t="s">
        <v>364</v>
      </c>
      <c r="C118" t="s">
        <v>55</v>
      </c>
      <c r="D118" s="8" t="s">
        <v>33</v>
      </c>
      <c r="E118" s="9" t="s">
        <v>19</v>
      </c>
      <c r="F118" t="s">
        <v>30</v>
      </c>
      <c r="G118" s="2">
        <v>45932</v>
      </c>
      <c r="H118" t="s">
        <v>686</v>
      </c>
      <c r="I118" s="2">
        <v>45971</v>
      </c>
      <c r="J118" t="s">
        <v>695</v>
      </c>
    </row>
    <row r="119" spans="1:10" ht="15" customHeight="1">
      <c r="A119" t="s">
        <v>808</v>
      </c>
      <c r="B119" t="s">
        <v>370</v>
      </c>
      <c r="C119" t="s">
        <v>196</v>
      </c>
      <c r="D119" s="8" t="s">
        <v>71</v>
      </c>
      <c r="E119" s="9" t="s">
        <v>72</v>
      </c>
      <c r="F119" t="s">
        <v>43</v>
      </c>
      <c r="G119" s="2">
        <v>45899</v>
      </c>
      <c r="H119" t="s">
        <v>686</v>
      </c>
      <c r="I119" s="2">
        <v>45941</v>
      </c>
      <c r="J119" t="s">
        <v>689</v>
      </c>
    </row>
    <row r="120" spans="1:10" ht="15" customHeight="1">
      <c r="A120" t="s">
        <v>809</v>
      </c>
      <c r="B120" t="s">
        <v>373</v>
      </c>
      <c r="C120" t="s">
        <v>229</v>
      </c>
      <c r="D120" s="8" t="s">
        <v>33</v>
      </c>
      <c r="E120" s="9" t="s">
        <v>19</v>
      </c>
      <c r="F120" t="s">
        <v>30</v>
      </c>
      <c r="G120" s="2">
        <v>45894</v>
      </c>
      <c r="H120" t="s">
        <v>686</v>
      </c>
      <c r="I120" s="2">
        <v>45921</v>
      </c>
      <c r="J120" t="s">
        <v>687</v>
      </c>
    </row>
    <row r="121" spans="1:10" ht="15" customHeight="1">
      <c r="A121" t="s">
        <v>810</v>
      </c>
      <c r="B121" t="s">
        <v>375</v>
      </c>
      <c r="C121" t="s">
        <v>263</v>
      </c>
      <c r="D121" s="8" t="s">
        <v>33</v>
      </c>
      <c r="E121" s="9" t="s">
        <v>19</v>
      </c>
      <c r="F121" t="s">
        <v>34</v>
      </c>
      <c r="G121" s="2">
        <v>45912</v>
      </c>
      <c r="H121" t="s">
        <v>686</v>
      </c>
      <c r="I121" s="2">
        <v>45930</v>
      </c>
      <c r="J121" t="s">
        <v>695</v>
      </c>
    </row>
    <row r="122" spans="1:10" ht="15" customHeight="1">
      <c r="A122" t="s">
        <v>811</v>
      </c>
      <c r="B122" t="s">
        <v>379</v>
      </c>
      <c r="C122" t="s">
        <v>87</v>
      </c>
      <c r="D122" s="8" t="s">
        <v>71</v>
      </c>
      <c r="E122" s="9" t="s">
        <v>72</v>
      </c>
      <c r="F122" t="s">
        <v>20</v>
      </c>
      <c r="G122" s="2">
        <v>45909</v>
      </c>
      <c r="H122" t="s">
        <v>686</v>
      </c>
      <c r="I122" s="2">
        <v>45914</v>
      </c>
      <c r="J122" t="s">
        <v>691</v>
      </c>
    </row>
    <row r="123" spans="1:10" ht="15" customHeight="1">
      <c r="A123" t="s">
        <v>812</v>
      </c>
      <c r="B123" t="s">
        <v>381</v>
      </c>
      <c r="C123" t="s">
        <v>17</v>
      </c>
      <c r="D123" s="8" t="s">
        <v>18</v>
      </c>
      <c r="E123" s="9" t="s">
        <v>19</v>
      </c>
      <c r="F123" t="s">
        <v>34</v>
      </c>
      <c r="G123" s="2">
        <v>45933</v>
      </c>
      <c r="H123" t="s">
        <v>686</v>
      </c>
      <c r="I123" s="2">
        <v>45945</v>
      </c>
      <c r="J123" t="s">
        <v>687</v>
      </c>
    </row>
    <row r="124" spans="1:10" ht="15" customHeight="1">
      <c r="A124" t="s">
        <v>813</v>
      </c>
      <c r="B124" t="s">
        <v>382</v>
      </c>
      <c r="C124" t="s">
        <v>273</v>
      </c>
      <c r="D124" s="8" t="s">
        <v>24</v>
      </c>
      <c r="E124" s="9" t="s">
        <v>25</v>
      </c>
      <c r="F124" t="s">
        <v>20</v>
      </c>
      <c r="G124" s="2">
        <v>45966</v>
      </c>
      <c r="H124" t="s">
        <v>686</v>
      </c>
      <c r="I124" s="2">
        <v>46007</v>
      </c>
      <c r="J124" t="s">
        <v>695</v>
      </c>
    </row>
    <row r="125" spans="1:10" ht="15" customHeight="1">
      <c r="A125" t="s">
        <v>814</v>
      </c>
      <c r="B125" t="s">
        <v>384</v>
      </c>
      <c r="C125" t="s">
        <v>32</v>
      </c>
      <c r="D125" s="8" t="s">
        <v>33</v>
      </c>
      <c r="E125" s="9" t="s">
        <v>19</v>
      </c>
      <c r="F125" t="s">
        <v>34</v>
      </c>
      <c r="G125" s="2">
        <v>45914</v>
      </c>
      <c r="H125" t="s">
        <v>686</v>
      </c>
      <c r="I125" s="2">
        <v>45947</v>
      </c>
      <c r="J125" t="s">
        <v>695</v>
      </c>
    </row>
    <row r="126" spans="1:10" ht="15" customHeight="1">
      <c r="A126" t="s">
        <v>815</v>
      </c>
      <c r="B126" t="s">
        <v>388</v>
      </c>
      <c r="C126" t="s">
        <v>49</v>
      </c>
      <c r="D126" s="8" t="s">
        <v>33</v>
      </c>
      <c r="E126" s="9" t="s">
        <v>19</v>
      </c>
      <c r="F126" t="s">
        <v>30</v>
      </c>
      <c r="G126" s="2">
        <v>45977</v>
      </c>
      <c r="H126" t="s">
        <v>686</v>
      </c>
      <c r="I126" s="2">
        <v>46010</v>
      </c>
      <c r="J126" t="s">
        <v>687</v>
      </c>
    </row>
    <row r="127" spans="1:10" ht="15" customHeight="1">
      <c r="A127" t="s">
        <v>816</v>
      </c>
      <c r="B127" t="s">
        <v>390</v>
      </c>
      <c r="C127" t="s">
        <v>51</v>
      </c>
      <c r="D127" s="8" t="s">
        <v>38</v>
      </c>
      <c r="E127" s="9" t="s">
        <v>39</v>
      </c>
      <c r="F127" t="s">
        <v>43</v>
      </c>
      <c r="G127" s="2">
        <v>45953</v>
      </c>
      <c r="H127" t="s">
        <v>686</v>
      </c>
      <c r="I127" s="2">
        <v>45994</v>
      </c>
      <c r="J127" t="s">
        <v>695</v>
      </c>
    </row>
    <row r="128" spans="1:10" ht="15" customHeight="1">
      <c r="A128" t="s">
        <v>817</v>
      </c>
      <c r="B128" t="s">
        <v>391</v>
      </c>
      <c r="C128" t="s">
        <v>55</v>
      </c>
      <c r="D128" s="8" t="s">
        <v>33</v>
      </c>
      <c r="E128" s="9" t="s">
        <v>19</v>
      </c>
      <c r="F128" t="s">
        <v>30</v>
      </c>
      <c r="G128" s="2">
        <v>45980</v>
      </c>
      <c r="H128" t="s">
        <v>686</v>
      </c>
      <c r="I128" s="2">
        <v>45996</v>
      </c>
      <c r="J128" t="s">
        <v>700</v>
      </c>
    </row>
    <row r="129" spans="1:10" ht="15" customHeight="1">
      <c r="A129" t="s">
        <v>818</v>
      </c>
      <c r="B129" t="s">
        <v>392</v>
      </c>
      <c r="C129" t="s">
        <v>57</v>
      </c>
      <c r="D129" s="8" t="s">
        <v>24</v>
      </c>
      <c r="E129" s="9" t="s">
        <v>25</v>
      </c>
      <c r="F129" t="s">
        <v>20</v>
      </c>
      <c r="G129" s="2">
        <v>45923</v>
      </c>
      <c r="H129" t="s">
        <v>686</v>
      </c>
      <c r="I129" s="2">
        <v>45950</v>
      </c>
      <c r="J129" t="s">
        <v>687</v>
      </c>
    </row>
    <row r="130" spans="1:10" ht="15" customHeight="1">
      <c r="A130" t="s">
        <v>819</v>
      </c>
      <c r="B130" t="s">
        <v>396</v>
      </c>
      <c r="C130" t="s">
        <v>109</v>
      </c>
      <c r="D130" s="8" t="s">
        <v>24</v>
      </c>
      <c r="E130" s="9" t="s">
        <v>25</v>
      </c>
      <c r="F130" t="s">
        <v>60</v>
      </c>
      <c r="G130" s="2">
        <v>45919</v>
      </c>
      <c r="H130" t="s">
        <v>686</v>
      </c>
      <c r="I130" s="2">
        <v>45935</v>
      </c>
      <c r="J130" t="s">
        <v>689</v>
      </c>
    </row>
    <row r="131" spans="1:10" ht="15" customHeight="1">
      <c r="A131" t="s">
        <v>820</v>
      </c>
      <c r="B131" t="s">
        <v>397</v>
      </c>
      <c r="C131" t="s">
        <v>196</v>
      </c>
      <c r="D131" s="8" t="s">
        <v>71</v>
      </c>
      <c r="E131" s="9" t="s">
        <v>72</v>
      </c>
      <c r="F131" t="s">
        <v>43</v>
      </c>
      <c r="G131" s="2">
        <v>45921</v>
      </c>
      <c r="H131" t="s">
        <v>686</v>
      </c>
      <c r="I131" s="2">
        <v>45958</v>
      </c>
      <c r="J131" t="s">
        <v>687</v>
      </c>
    </row>
    <row r="132" spans="1:10" ht="15" customHeight="1">
      <c r="A132" t="s">
        <v>821</v>
      </c>
      <c r="B132" t="s">
        <v>400</v>
      </c>
      <c r="C132" t="s">
        <v>142</v>
      </c>
      <c r="D132" s="8" t="s">
        <v>71</v>
      </c>
      <c r="E132" s="9" t="s">
        <v>72</v>
      </c>
      <c r="F132" t="s">
        <v>43</v>
      </c>
      <c r="G132" s="2">
        <v>45966</v>
      </c>
      <c r="H132" t="s">
        <v>686</v>
      </c>
      <c r="I132" s="2">
        <v>45975</v>
      </c>
      <c r="J132" t="s">
        <v>691</v>
      </c>
    </row>
    <row r="133" spans="1:10" ht="15" customHeight="1">
      <c r="A133" t="s">
        <v>822</v>
      </c>
      <c r="B133" t="s">
        <v>400</v>
      </c>
      <c r="C133" t="s">
        <v>142</v>
      </c>
      <c r="D133" s="8" t="s">
        <v>71</v>
      </c>
      <c r="E133" s="9" t="s">
        <v>72</v>
      </c>
      <c r="F133" t="s">
        <v>43</v>
      </c>
      <c r="G133" s="2">
        <v>45968</v>
      </c>
      <c r="H133" t="s">
        <v>686</v>
      </c>
      <c r="I133" s="2">
        <v>46002</v>
      </c>
      <c r="J133" t="s">
        <v>700</v>
      </c>
    </row>
    <row r="134" spans="1:10" ht="15" customHeight="1">
      <c r="A134" t="s">
        <v>823</v>
      </c>
      <c r="B134" t="s">
        <v>402</v>
      </c>
      <c r="C134" t="s">
        <v>174</v>
      </c>
      <c r="D134" s="8" t="s">
        <v>71</v>
      </c>
      <c r="E134" s="9" t="s">
        <v>72</v>
      </c>
      <c r="F134" t="s">
        <v>60</v>
      </c>
      <c r="G134" s="2">
        <v>45925</v>
      </c>
      <c r="H134" t="s">
        <v>686</v>
      </c>
      <c r="I134" s="2">
        <v>45940</v>
      </c>
      <c r="J134" t="s">
        <v>700</v>
      </c>
    </row>
    <row r="135" spans="1:10" ht="15" customHeight="1">
      <c r="A135" t="s">
        <v>824</v>
      </c>
      <c r="B135" t="s">
        <v>404</v>
      </c>
      <c r="C135" t="s">
        <v>206</v>
      </c>
      <c r="D135" s="8" t="s">
        <v>71</v>
      </c>
      <c r="E135" s="9" t="s">
        <v>72</v>
      </c>
      <c r="F135" t="s">
        <v>34</v>
      </c>
      <c r="G135" s="2">
        <v>45942</v>
      </c>
      <c r="H135" t="s">
        <v>686</v>
      </c>
      <c r="I135" s="2">
        <v>45980</v>
      </c>
      <c r="J135" t="s">
        <v>700</v>
      </c>
    </row>
    <row r="136" spans="1:10" ht="15" customHeight="1">
      <c r="A136" t="s">
        <v>825</v>
      </c>
      <c r="B136" t="s">
        <v>407</v>
      </c>
      <c r="C136" t="s">
        <v>87</v>
      </c>
      <c r="D136" s="8" t="s">
        <v>71</v>
      </c>
      <c r="E136" s="9" t="s">
        <v>72</v>
      </c>
      <c r="F136" t="s">
        <v>20</v>
      </c>
      <c r="G136" s="2">
        <v>45956</v>
      </c>
      <c r="H136" t="s">
        <v>686</v>
      </c>
      <c r="I136" s="2">
        <v>45977</v>
      </c>
      <c r="J136" t="s">
        <v>687</v>
      </c>
    </row>
    <row r="137" spans="1:10" ht="15" customHeight="1">
      <c r="A137" t="s">
        <v>826</v>
      </c>
      <c r="B137" t="s">
        <v>408</v>
      </c>
      <c r="C137" t="s">
        <v>17</v>
      </c>
      <c r="D137" s="8" t="s">
        <v>18</v>
      </c>
      <c r="E137" s="9" t="s">
        <v>19</v>
      </c>
      <c r="F137" t="s">
        <v>34</v>
      </c>
      <c r="G137" s="2">
        <v>45991</v>
      </c>
      <c r="H137" t="s">
        <v>686</v>
      </c>
      <c r="I137" s="2">
        <v>46004</v>
      </c>
      <c r="J137" t="s">
        <v>700</v>
      </c>
    </row>
    <row r="138" spans="1:10" ht="15" customHeight="1">
      <c r="A138" t="s">
        <v>827</v>
      </c>
      <c r="B138" t="s">
        <v>409</v>
      </c>
      <c r="C138" t="s">
        <v>273</v>
      </c>
      <c r="D138" s="8" t="s">
        <v>24</v>
      </c>
      <c r="E138" s="9" t="s">
        <v>25</v>
      </c>
      <c r="F138" t="s">
        <v>43</v>
      </c>
      <c r="G138" s="2">
        <v>45965</v>
      </c>
      <c r="H138" t="s">
        <v>686</v>
      </c>
      <c r="I138" s="2">
        <v>45987</v>
      </c>
      <c r="J138" t="s">
        <v>700</v>
      </c>
    </row>
    <row r="139" spans="1:10" ht="15" customHeight="1">
      <c r="A139" t="s">
        <v>828</v>
      </c>
      <c r="B139" t="s">
        <v>413</v>
      </c>
      <c r="C139" t="s">
        <v>37</v>
      </c>
      <c r="D139" s="8" t="s">
        <v>38</v>
      </c>
      <c r="E139" s="9" t="s">
        <v>39</v>
      </c>
      <c r="F139" t="s">
        <v>26</v>
      </c>
      <c r="G139" s="2">
        <v>46003</v>
      </c>
      <c r="H139" t="s">
        <v>686</v>
      </c>
      <c r="I139" s="2">
        <v>46010</v>
      </c>
      <c r="J139" t="s">
        <v>687</v>
      </c>
    </row>
    <row r="140" spans="1:10" ht="15" customHeight="1">
      <c r="A140" t="s">
        <v>829</v>
      </c>
      <c r="B140" t="s">
        <v>416</v>
      </c>
      <c r="C140" t="s">
        <v>130</v>
      </c>
      <c r="D140" s="8" t="s">
        <v>71</v>
      </c>
      <c r="E140" s="9" t="s">
        <v>72</v>
      </c>
      <c r="F140" t="s">
        <v>43</v>
      </c>
      <c r="G140" s="2">
        <v>45981</v>
      </c>
      <c r="H140" t="s">
        <v>686</v>
      </c>
      <c r="I140" s="2">
        <v>45998</v>
      </c>
      <c r="J140" t="s">
        <v>689</v>
      </c>
    </row>
    <row r="141" spans="1:10" ht="15" customHeight="1">
      <c r="A141" t="s">
        <v>830</v>
      </c>
      <c r="B141" t="s">
        <v>416</v>
      </c>
      <c r="C141" t="s">
        <v>130</v>
      </c>
      <c r="D141" s="8" t="s">
        <v>71</v>
      </c>
      <c r="E141" s="9" t="s">
        <v>72</v>
      </c>
      <c r="F141" t="s">
        <v>43</v>
      </c>
      <c r="G141" s="2">
        <v>45976</v>
      </c>
      <c r="H141" t="s">
        <v>686</v>
      </c>
      <c r="I141" s="2">
        <v>46010</v>
      </c>
      <c r="J141" t="s">
        <v>687</v>
      </c>
    </row>
    <row r="142" spans="1:10" ht="15" customHeight="1">
      <c r="A142" t="s">
        <v>831</v>
      </c>
      <c r="B142" t="s">
        <v>428</v>
      </c>
      <c r="C142" t="s">
        <v>229</v>
      </c>
      <c r="D142" s="8" t="s">
        <v>33</v>
      </c>
      <c r="E142" s="9" t="s">
        <v>19</v>
      </c>
      <c r="F142" t="s">
        <v>60</v>
      </c>
      <c r="G142" s="2">
        <v>45957</v>
      </c>
      <c r="H142" t="s">
        <v>686</v>
      </c>
      <c r="I142" s="2">
        <v>45977</v>
      </c>
      <c r="J142" t="s">
        <v>695</v>
      </c>
    </row>
    <row r="143" spans="1:10" ht="15" customHeight="1">
      <c r="A143" t="s">
        <v>832</v>
      </c>
      <c r="B143" t="s">
        <v>428</v>
      </c>
      <c r="C143" t="s">
        <v>229</v>
      </c>
      <c r="D143" s="8" t="s">
        <v>33</v>
      </c>
      <c r="E143" s="9" t="s">
        <v>19</v>
      </c>
      <c r="F143" t="s">
        <v>60</v>
      </c>
      <c r="G143" s="2">
        <v>45951</v>
      </c>
      <c r="H143" t="s">
        <v>686</v>
      </c>
      <c r="I143" s="2">
        <v>45958</v>
      </c>
      <c r="J143" t="s">
        <v>687</v>
      </c>
    </row>
    <row r="144" spans="1:10" ht="15" customHeight="1">
      <c r="A144" t="s">
        <v>833</v>
      </c>
      <c r="B144" t="s">
        <v>430</v>
      </c>
      <c r="C144" t="s">
        <v>174</v>
      </c>
      <c r="D144" s="8" t="s">
        <v>71</v>
      </c>
      <c r="E144" s="9" t="s">
        <v>72</v>
      </c>
      <c r="F144" t="s">
        <v>60</v>
      </c>
      <c r="G144" s="2">
        <v>46009</v>
      </c>
      <c r="H144" t="s">
        <v>686</v>
      </c>
      <c r="I144" s="2">
        <v>46014</v>
      </c>
      <c r="J144" t="s">
        <v>689</v>
      </c>
    </row>
    <row r="145" spans="1:10" ht="15" customHeight="1">
      <c r="A145" t="s">
        <v>834</v>
      </c>
      <c r="B145" t="s">
        <v>431</v>
      </c>
      <c r="C145" t="s">
        <v>263</v>
      </c>
      <c r="D145" s="8" t="s">
        <v>33</v>
      </c>
      <c r="E145" s="9" t="s">
        <v>19</v>
      </c>
      <c r="F145" t="s">
        <v>34</v>
      </c>
      <c r="G145" s="2">
        <v>45978</v>
      </c>
      <c r="H145" t="s">
        <v>686</v>
      </c>
      <c r="I145" s="2">
        <v>46012</v>
      </c>
      <c r="J145" t="s">
        <v>691</v>
      </c>
    </row>
    <row r="146" spans="1:10" ht="15" customHeight="1">
      <c r="A146" t="s">
        <v>835</v>
      </c>
      <c r="B146" t="s">
        <v>432</v>
      </c>
      <c r="C146" t="s">
        <v>206</v>
      </c>
      <c r="D146" s="8" t="s">
        <v>71</v>
      </c>
      <c r="E146" s="9" t="s">
        <v>72</v>
      </c>
      <c r="F146" t="s">
        <v>34</v>
      </c>
      <c r="G146" s="2">
        <v>45966</v>
      </c>
      <c r="H146" t="s">
        <v>686</v>
      </c>
      <c r="I146" s="2">
        <v>45984</v>
      </c>
      <c r="J146" t="s">
        <v>687</v>
      </c>
    </row>
    <row r="147" spans="1:10" ht="15" customHeight="1">
      <c r="A147" t="s">
        <v>836</v>
      </c>
      <c r="B147" t="s">
        <v>439</v>
      </c>
      <c r="C147" t="s">
        <v>97</v>
      </c>
      <c r="D147" s="8" t="s">
        <v>18</v>
      </c>
      <c r="E147" s="9" t="s">
        <v>19</v>
      </c>
      <c r="F147" t="s">
        <v>30</v>
      </c>
      <c r="G147" s="2">
        <v>46032</v>
      </c>
      <c r="H147" t="s">
        <v>686</v>
      </c>
      <c r="I147" s="2">
        <v>46057</v>
      </c>
      <c r="J147" t="s">
        <v>700</v>
      </c>
    </row>
    <row r="148" spans="1:10" ht="15" customHeight="1">
      <c r="A148" t="s">
        <v>837</v>
      </c>
      <c r="B148" t="s">
        <v>441</v>
      </c>
      <c r="C148" t="s">
        <v>42</v>
      </c>
      <c r="D148" s="8" t="s">
        <v>24</v>
      </c>
      <c r="E148" s="9" t="s">
        <v>25</v>
      </c>
      <c r="F148" t="s">
        <v>43</v>
      </c>
      <c r="G148" s="2">
        <v>45993</v>
      </c>
      <c r="H148" t="s">
        <v>686</v>
      </c>
      <c r="I148" s="2">
        <v>46036</v>
      </c>
      <c r="J148" t="s">
        <v>691</v>
      </c>
    </row>
    <row r="149" spans="1:10" ht="15" customHeight="1">
      <c r="A149" t="s">
        <v>838</v>
      </c>
      <c r="B149" t="s">
        <v>441</v>
      </c>
      <c r="C149" t="s">
        <v>42</v>
      </c>
      <c r="D149" s="8" t="s">
        <v>24</v>
      </c>
      <c r="E149" s="9" t="s">
        <v>25</v>
      </c>
      <c r="F149" t="s">
        <v>43</v>
      </c>
      <c r="G149" s="2">
        <v>45992</v>
      </c>
      <c r="H149" t="s">
        <v>686</v>
      </c>
      <c r="I149" s="2">
        <v>46014</v>
      </c>
      <c r="J149" t="s">
        <v>691</v>
      </c>
    </row>
    <row r="150" spans="1:10" ht="15" customHeight="1">
      <c r="A150" t="s">
        <v>839</v>
      </c>
      <c r="B150" t="s">
        <v>442</v>
      </c>
      <c r="C150" t="s">
        <v>49</v>
      </c>
      <c r="D150" s="8" t="s">
        <v>33</v>
      </c>
      <c r="E150" s="9" t="s">
        <v>19</v>
      </c>
      <c r="F150" t="s">
        <v>30</v>
      </c>
      <c r="G150" s="2">
        <v>46025</v>
      </c>
      <c r="H150" t="s">
        <v>686</v>
      </c>
      <c r="I150" s="2">
        <v>46064</v>
      </c>
      <c r="J150" t="s">
        <v>687</v>
      </c>
    </row>
    <row r="151" spans="1:10" ht="15" customHeight="1">
      <c r="A151" t="s">
        <v>840</v>
      </c>
      <c r="B151" t="s">
        <v>443</v>
      </c>
      <c r="C151" t="s">
        <v>130</v>
      </c>
      <c r="D151" s="8" t="s">
        <v>71</v>
      </c>
      <c r="E151" s="9" t="s">
        <v>72</v>
      </c>
      <c r="F151" t="s">
        <v>20</v>
      </c>
      <c r="G151" s="2">
        <v>46009</v>
      </c>
      <c r="H151" t="s">
        <v>686</v>
      </c>
      <c r="I151" s="2">
        <v>46030</v>
      </c>
      <c r="J151" t="s">
        <v>687</v>
      </c>
    </row>
    <row r="152" spans="1:10" ht="15" customHeight="1">
      <c r="A152" t="s">
        <v>841</v>
      </c>
      <c r="B152" t="s">
        <v>444</v>
      </c>
      <c r="C152" t="s">
        <v>51</v>
      </c>
      <c r="D152" s="8" t="s">
        <v>38</v>
      </c>
      <c r="E152" s="9" t="s">
        <v>39</v>
      </c>
      <c r="F152" t="s">
        <v>43</v>
      </c>
      <c r="G152" s="2">
        <v>46026</v>
      </c>
      <c r="H152" t="s">
        <v>686</v>
      </c>
      <c r="I152" s="2">
        <v>46053</v>
      </c>
      <c r="J152" t="s">
        <v>689</v>
      </c>
    </row>
    <row r="153" spans="1:10" ht="15" customHeight="1">
      <c r="A153" t="s">
        <v>842</v>
      </c>
      <c r="B153" t="s">
        <v>446</v>
      </c>
      <c r="C153" t="s">
        <v>57</v>
      </c>
      <c r="D153" s="8" t="s">
        <v>24</v>
      </c>
      <c r="E153" s="9" t="s">
        <v>25</v>
      </c>
      <c r="F153" t="s">
        <v>20</v>
      </c>
      <c r="G153" s="2">
        <v>46021</v>
      </c>
      <c r="H153" t="s">
        <v>686</v>
      </c>
      <c r="I153" s="2">
        <v>46057</v>
      </c>
      <c r="J153" t="s">
        <v>691</v>
      </c>
    </row>
    <row r="154" spans="1:10" ht="15" customHeight="1">
      <c r="A154" t="s">
        <v>843</v>
      </c>
      <c r="B154" t="s">
        <v>447</v>
      </c>
      <c r="C154" t="s">
        <v>163</v>
      </c>
      <c r="D154" s="8" t="s">
        <v>71</v>
      </c>
      <c r="E154" s="9" t="s">
        <v>72</v>
      </c>
      <c r="F154" t="s">
        <v>60</v>
      </c>
      <c r="G154" s="2">
        <v>45992</v>
      </c>
      <c r="H154" t="s">
        <v>686</v>
      </c>
      <c r="I154" s="2">
        <v>46006</v>
      </c>
      <c r="J154" t="s">
        <v>700</v>
      </c>
    </row>
    <row r="155" spans="1:10" ht="15" customHeight="1">
      <c r="A155" t="s">
        <v>844</v>
      </c>
      <c r="B155" t="s">
        <v>448</v>
      </c>
      <c r="C155" t="s">
        <v>59</v>
      </c>
      <c r="D155" s="8" t="s">
        <v>24</v>
      </c>
      <c r="E155" s="9" t="s">
        <v>25</v>
      </c>
      <c r="F155" t="s">
        <v>60</v>
      </c>
      <c r="G155" s="2">
        <v>46043</v>
      </c>
      <c r="H155" t="s">
        <v>686</v>
      </c>
      <c r="I155" s="2">
        <v>46086</v>
      </c>
      <c r="J155" t="s">
        <v>689</v>
      </c>
    </row>
    <row r="156" spans="1:10" ht="15" customHeight="1">
      <c r="A156" t="s">
        <v>845</v>
      </c>
      <c r="B156" t="s">
        <v>453</v>
      </c>
      <c r="C156" t="s">
        <v>70</v>
      </c>
      <c r="D156" s="8" t="s">
        <v>71</v>
      </c>
      <c r="E156" s="9" t="s">
        <v>72</v>
      </c>
      <c r="F156" t="s">
        <v>26</v>
      </c>
      <c r="G156" s="2">
        <v>46005</v>
      </c>
      <c r="H156" t="s">
        <v>686</v>
      </c>
      <c r="I156" s="2">
        <v>46020</v>
      </c>
      <c r="J156" t="s">
        <v>695</v>
      </c>
    </row>
    <row r="157" spans="1:10" ht="15" customHeight="1">
      <c r="A157" t="s">
        <v>846</v>
      </c>
      <c r="B157" t="s">
        <v>454</v>
      </c>
      <c r="C157" t="s">
        <v>142</v>
      </c>
      <c r="D157" s="8" t="s">
        <v>71</v>
      </c>
      <c r="E157" s="9" t="s">
        <v>72</v>
      </c>
      <c r="F157" t="s">
        <v>43</v>
      </c>
      <c r="G157" s="2">
        <v>45988</v>
      </c>
      <c r="H157" t="s">
        <v>686</v>
      </c>
      <c r="I157" s="2">
        <v>46024</v>
      </c>
      <c r="J157" t="s">
        <v>689</v>
      </c>
    </row>
    <row r="158" spans="1:10" ht="15" customHeight="1">
      <c r="A158" t="s">
        <v>847</v>
      </c>
      <c r="B158" t="s">
        <v>456</v>
      </c>
      <c r="C158" t="s">
        <v>74</v>
      </c>
      <c r="D158" s="8" t="s">
        <v>75</v>
      </c>
      <c r="E158" s="9" t="s">
        <v>72</v>
      </c>
      <c r="F158" t="s">
        <v>30</v>
      </c>
      <c r="G158" s="2">
        <v>46006</v>
      </c>
      <c r="H158" t="s">
        <v>686</v>
      </c>
      <c r="I158" s="2">
        <v>46030</v>
      </c>
      <c r="J158" t="s">
        <v>700</v>
      </c>
    </row>
    <row r="159" spans="1:10" ht="15" customHeight="1">
      <c r="A159" t="s">
        <v>848</v>
      </c>
      <c r="B159" t="s">
        <v>457</v>
      </c>
      <c r="C159" t="s">
        <v>174</v>
      </c>
      <c r="D159" s="8" t="s">
        <v>71</v>
      </c>
      <c r="E159" s="9" t="s">
        <v>72</v>
      </c>
      <c r="F159" t="s">
        <v>30</v>
      </c>
      <c r="G159" s="2">
        <v>46023</v>
      </c>
      <c r="H159" t="s">
        <v>686</v>
      </c>
      <c r="I159" s="2">
        <v>46051</v>
      </c>
      <c r="J159" t="s">
        <v>689</v>
      </c>
    </row>
    <row r="160" spans="1:10" ht="15" customHeight="1">
      <c r="A160" t="s">
        <v>849</v>
      </c>
      <c r="B160" t="s">
        <v>461</v>
      </c>
      <c r="C160" t="s">
        <v>295</v>
      </c>
      <c r="D160" s="8" t="s">
        <v>33</v>
      </c>
      <c r="E160" s="9" t="s">
        <v>19</v>
      </c>
      <c r="F160" t="s">
        <v>30</v>
      </c>
      <c r="G160" s="2">
        <v>46027</v>
      </c>
      <c r="H160" t="s">
        <v>686</v>
      </c>
      <c r="I160" s="2">
        <v>46056</v>
      </c>
      <c r="J160" t="s">
        <v>695</v>
      </c>
    </row>
    <row r="161" spans="1:10" ht="15" customHeight="1">
      <c r="A161" t="s">
        <v>850</v>
      </c>
      <c r="B161" t="s">
        <v>461</v>
      </c>
      <c r="C161" t="s">
        <v>295</v>
      </c>
      <c r="D161" s="8" t="s">
        <v>33</v>
      </c>
      <c r="E161" s="9" t="s">
        <v>19</v>
      </c>
      <c r="F161" t="s">
        <v>30</v>
      </c>
      <c r="G161" s="2">
        <v>46050</v>
      </c>
      <c r="H161" t="s">
        <v>686</v>
      </c>
      <c r="I161" s="2">
        <v>46066</v>
      </c>
      <c r="J161" t="s">
        <v>700</v>
      </c>
    </row>
    <row r="162" spans="1:10" ht="15" customHeight="1">
      <c r="A162" t="s">
        <v>851</v>
      </c>
      <c r="B162" t="s">
        <v>465</v>
      </c>
      <c r="C162" t="s">
        <v>273</v>
      </c>
      <c r="D162" s="8" t="s">
        <v>24</v>
      </c>
      <c r="E162" s="9" t="s">
        <v>25</v>
      </c>
      <c r="F162" t="s">
        <v>20</v>
      </c>
      <c r="G162" s="2">
        <v>46059</v>
      </c>
      <c r="H162" t="s">
        <v>686</v>
      </c>
      <c r="I162" s="2">
        <v>46103</v>
      </c>
      <c r="J162" t="s">
        <v>687</v>
      </c>
    </row>
    <row r="163" spans="1:10" ht="15" customHeight="1">
      <c r="A163" t="s">
        <v>852</v>
      </c>
      <c r="B163" t="s">
        <v>465</v>
      </c>
      <c r="C163" t="s">
        <v>273</v>
      </c>
      <c r="D163" s="8" t="s">
        <v>24</v>
      </c>
      <c r="E163" s="9" t="s">
        <v>25</v>
      </c>
      <c r="F163" t="s">
        <v>20</v>
      </c>
      <c r="G163" s="2">
        <v>46077</v>
      </c>
      <c r="H163" t="s">
        <v>686</v>
      </c>
      <c r="I163" s="2">
        <v>46099</v>
      </c>
      <c r="J163" t="s">
        <v>695</v>
      </c>
    </row>
    <row r="164" spans="1:10" ht="15" customHeight="1">
      <c r="A164" t="s">
        <v>853</v>
      </c>
      <c r="B164" t="s">
        <v>467</v>
      </c>
      <c r="C164" t="s">
        <v>97</v>
      </c>
      <c r="D164" s="8" t="s">
        <v>18</v>
      </c>
      <c r="E164" s="9" t="s">
        <v>19</v>
      </c>
      <c r="F164" t="s">
        <v>30</v>
      </c>
      <c r="G164" s="2">
        <v>46071</v>
      </c>
      <c r="H164" t="s">
        <v>686</v>
      </c>
      <c r="I164" s="2">
        <v>46085</v>
      </c>
      <c r="J164" t="s">
        <v>700</v>
      </c>
    </row>
    <row r="165" spans="1:10" ht="15" customHeight="1">
      <c r="A165" t="s">
        <v>854</v>
      </c>
      <c r="B165" t="s">
        <v>473</v>
      </c>
      <c r="C165" t="s">
        <v>57</v>
      </c>
      <c r="D165" s="8" t="s">
        <v>24</v>
      </c>
      <c r="E165" s="9" t="s">
        <v>25</v>
      </c>
      <c r="F165" t="s">
        <v>20</v>
      </c>
      <c r="G165" s="2">
        <v>46084</v>
      </c>
      <c r="H165" t="s">
        <v>686</v>
      </c>
      <c r="I165" s="2">
        <v>46090</v>
      </c>
      <c r="J165" t="s">
        <v>691</v>
      </c>
    </row>
    <row r="166" spans="1:10" ht="15" customHeight="1">
      <c r="A166" t="s">
        <v>855</v>
      </c>
      <c r="B166" t="s">
        <v>475</v>
      </c>
      <c r="C166" t="s">
        <v>59</v>
      </c>
      <c r="D166" s="8" t="s">
        <v>24</v>
      </c>
      <c r="E166" s="9" t="s">
        <v>25</v>
      </c>
      <c r="F166" t="s">
        <v>60</v>
      </c>
      <c r="G166" s="2">
        <v>46022</v>
      </c>
      <c r="H166" t="s">
        <v>686</v>
      </c>
      <c r="I166" s="2">
        <v>46058</v>
      </c>
      <c r="J166" t="s">
        <v>689</v>
      </c>
    </row>
    <row r="167" spans="1:10" ht="15" customHeight="1">
      <c r="A167" t="s">
        <v>856</v>
      </c>
      <c r="B167" t="s">
        <v>477</v>
      </c>
      <c r="C167" t="s">
        <v>109</v>
      </c>
      <c r="D167" s="8" t="s">
        <v>24</v>
      </c>
      <c r="E167" s="9" t="s">
        <v>25</v>
      </c>
      <c r="F167" t="s">
        <v>26</v>
      </c>
      <c r="G167" s="2">
        <v>46070</v>
      </c>
      <c r="H167" t="s">
        <v>686</v>
      </c>
      <c r="I167" s="2">
        <v>46083</v>
      </c>
      <c r="J167" t="s">
        <v>689</v>
      </c>
    </row>
    <row r="168" spans="1:10" ht="15" customHeight="1">
      <c r="A168" t="s">
        <v>857</v>
      </c>
      <c r="B168" t="s">
        <v>479</v>
      </c>
      <c r="C168" t="s">
        <v>66</v>
      </c>
      <c r="D168" s="8" t="s">
        <v>24</v>
      </c>
      <c r="E168" s="9" t="s">
        <v>25</v>
      </c>
      <c r="F168" t="s">
        <v>34</v>
      </c>
      <c r="G168" s="2">
        <v>46060</v>
      </c>
      <c r="H168" t="s">
        <v>686</v>
      </c>
      <c r="I168" s="2">
        <v>46098</v>
      </c>
      <c r="J168" t="s">
        <v>695</v>
      </c>
    </row>
    <row r="169" spans="1:10" ht="15" customHeight="1">
      <c r="A169" t="s">
        <v>858</v>
      </c>
      <c r="B169" t="s">
        <v>484</v>
      </c>
      <c r="C169" t="s">
        <v>174</v>
      </c>
      <c r="D169" s="8" t="s">
        <v>71</v>
      </c>
      <c r="E169" s="9" t="s">
        <v>72</v>
      </c>
      <c r="F169" t="s">
        <v>60</v>
      </c>
      <c r="G169" s="2">
        <v>46026</v>
      </c>
      <c r="H169" t="s">
        <v>686</v>
      </c>
      <c r="I169" s="2">
        <v>46050</v>
      </c>
      <c r="J169" t="s">
        <v>691</v>
      </c>
    </row>
    <row r="170" spans="1:10" ht="15" customHeight="1">
      <c r="A170" t="s">
        <v>859</v>
      </c>
      <c r="B170" t="s">
        <v>487</v>
      </c>
      <c r="C170" t="s">
        <v>206</v>
      </c>
      <c r="D170" s="8" t="s">
        <v>71</v>
      </c>
      <c r="E170" s="9" t="s">
        <v>72</v>
      </c>
      <c r="F170" t="s">
        <v>20</v>
      </c>
      <c r="G170" s="2">
        <v>46062</v>
      </c>
      <c r="H170" t="s">
        <v>686</v>
      </c>
      <c r="I170" s="2">
        <v>46086</v>
      </c>
      <c r="J170" t="s">
        <v>687</v>
      </c>
    </row>
    <row r="171" spans="1:10" ht="15" customHeight="1">
      <c r="A171" t="s">
        <v>860</v>
      </c>
      <c r="B171" t="s">
        <v>491</v>
      </c>
      <c r="C171" t="s">
        <v>87</v>
      </c>
      <c r="D171" s="8" t="s">
        <v>71</v>
      </c>
      <c r="E171" s="9" t="s">
        <v>72</v>
      </c>
      <c r="F171" t="s">
        <v>20</v>
      </c>
      <c r="G171" s="2">
        <v>46102</v>
      </c>
      <c r="H171" t="s">
        <v>686</v>
      </c>
      <c r="I171" s="2">
        <v>46124</v>
      </c>
      <c r="J171" t="s">
        <v>695</v>
      </c>
    </row>
    <row r="172" spans="1:10" ht="15" customHeight="1">
      <c r="A172" t="s">
        <v>861</v>
      </c>
      <c r="B172" t="s">
        <v>493</v>
      </c>
      <c r="C172" t="s">
        <v>23</v>
      </c>
      <c r="D172" s="8" t="s">
        <v>24</v>
      </c>
      <c r="E172" s="9" t="s">
        <v>25</v>
      </c>
      <c r="F172" t="s">
        <v>60</v>
      </c>
      <c r="G172" s="2">
        <v>46099</v>
      </c>
      <c r="H172" t="s">
        <v>686</v>
      </c>
      <c r="I172" s="2">
        <v>46111</v>
      </c>
      <c r="J172" t="s">
        <v>689</v>
      </c>
    </row>
    <row r="173" spans="1:10" ht="15" customHeight="1">
      <c r="A173" t="s">
        <v>862</v>
      </c>
      <c r="B173" t="s">
        <v>495</v>
      </c>
      <c r="C173" t="s">
        <v>37</v>
      </c>
      <c r="D173" s="8" t="s">
        <v>38</v>
      </c>
      <c r="E173" s="9" t="s">
        <v>39</v>
      </c>
      <c r="F173" t="s">
        <v>26</v>
      </c>
      <c r="G173" s="2">
        <v>46093</v>
      </c>
      <c r="H173" t="s">
        <v>686</v>
      </c>
      <c r="I173" s="2">
        <v>46099</v>
      </c>
      <c r="J173" t="s">
        <v>687</v>
      </c>
    </row>
    <row r="174" spans="1:10" ht="15" customHeight="1">
      <c r="A174" t="s">
        <v>863</v>
      </c>
      <c r="B174" t="s">
        <v>497</v>
      </c>
      <c r="C174" t="s">
        <v>130</v>
      </c>
      <c r="D174" s="8" t="s">
        <v>71</v>
      </c>
      <c r="E174" s="9" t="s">
        <v>72</v>
      </c>
      <c r="F174" t="s">
        <v>20</v>
      </c>
      <c r="G174" s="2">
        <v>46074</v>
      </c>
      <c r="H174" t="s">
        <v>686</v>
      </c>
      <c r="I174" s="2">
        <v>46080</v>
      </c>
      <c r="J174" t="s">
        <v>687</v>
      </c>
    </row>
    <row r="175" spans="1:10" ht="15" customHeight="1">
      <c r="A175" t="s">
        <v>864</v>
      </c>
      <c r="B175" t="s">
        <v>501</v>
      </c>
      <c r="C175" t="s">
        <v>59</v>
      </c>
      <c r="D175" s="8" t="s">
        <v>24</v>
      </c>
      <c r="E175" s="9" t="s">
        <v>25</v>
      </c>
      <c r="F175" t="s">
        <v>30</v>
      </c>
      <c r="G175" s="2">
        <v>46119</v>
      </c>
      <c r="H175" t="s">
        <v>686</v>
      </c>
      <c r="I175" s="2">
        <v>46162</v>
      </c>
      <c r="J175" t="s">
        <v>691</v>
      </c>
    </row>
    <row r="176" spans="1:10" ht="15" customHeight="1">
      <c r="A176" t="s">
        <v>865</v>
      </c>
      <c r="B176" t="s">
        <v>504</v>
      </c>
      <c r="C176" t="s">
        <v>196</v>
      </c>
      <c r="D176" s="8" t="s">
        <v>71</v>
      </c>
      <c r="E176" s="9" t="s">
        <v>72</v>
      </c>
      <c r="F176" t="s">
        <v>43</v>
      </c>
      <c r="G176" s="2">
        <v>46125</v>
      </c>
      <c r="H176" t="s">
        <v>686</v>
      </c>
      <c r="I176" s="2">
        <v>46155</v>
      </c>
      <c r="J176" t="s">
        <v>687</v>
      </c>
    </row>
    <row r="177" spans="1:10" ht="15" customHeight="1">
      <c r="A177" t="s">
        <v>866</v>
      </c>
      <c r="B177" t="s">
        <v>515</v>
      </c>
      <c r="C177" t="s">
        <v>295</v>
      </c>
      <c r="D177" s="8" t="s">
        <v>33</v>
      </c>
      <c r="E177" s="9" t="s">
        <v>19</v>
      </c>
      <c r="F177" t="s">
        <v>30</v>
      </c>
      <c r="G177" s="2">
        <v>46102</v>
      </c>
      <c r="H177" t="s">
        <v>686</v>
      </c>
      <c r="I177" s="2">
        <v>46114</v>
      </c>
      <c r="J177" t="s">
        <v>700</v>
      </c>
    </row>
    <row r="178" spans="1:10" ht="15" customHeight="1">
      <c r="A178" t="s">
        <v>867</v>
      </c>
      <c r="B178" t="s">
        <v>516</v>
      </c>
      <c r="C178" t="s">
        <v>83</v>
      </c>
      <c r="D178" s="8" t="s">
        <v>33</v>
      </c>
      <c r="E178" s="9" t="s">
        <v>19</v>
      </c>
      <c r="F178" t="s">
        <v>26</v>
      </c>
      <c r="G178" s="2">
        <v>46090</v>
      </c>
      <c r="H178" t="s">
        <v>686</v>
      </c>
      <c r="I178" s="2">
        <v>46113</v>
      </c>
      <c r="J178" t="s">
        <v>691</v>
      </c>
    </row>
    <row r="179" spans="1:10" ht="15" customHeight="1">
      <c r="A179" t="s">
        <v>868</v>
      </c>
      <c r="B179" t="s">
        <v>517</v>
      </c>
      <c r="C179" t="s">
        <v>238</v>
      </c>
      <c r="D179" s="8" t="s">
        <v>239</v>
      </c>
      <c r="E179" s="9" t="s">
        <v>240</v>
      </c>
      <c r="F179" t="s">
        <v>26</v>
      </c>
      <c r="G179" s="2">
        <v>46102</v>
      </c>
      <c r="H179" t="s">
        <v>686</v>
      </c>
      <c r="I179" s="2">
        <v>46122</v>
      </c>
      <c r="J179" t="s">
        <v>687</v>
      </c>
    </row>
    <row r="180" spans="1:10" ht="15" customHeight="1">
      <c r="A180" t="s">
        <v>869</v>
      </c>
      <c r="B180" t="s">
        <v>520</v>
      </c>
      <c r="C180" t="s">
        <v>273</v>
      </c>
      <c r="D180" s="8" t="s">
        <v>24</v>
      </c>
      <c r="E180" s="9" t="s">
        <v>25</v>
      </c>
      <c r="F180" t="s">
        <v>20</v>
      </c>
      <c r="G180" s="2">
        <v>46114</v>
      </c>
      <c r="H180" t="s">
        <v>686</v>
      </c>
      <c r="I180" s="2">
        <v>46139</v>
      </c>
      <c r="J180" t="s">
        <v>687</v>
      </c>
    </row>
    <row r="181" spans="1:10" ht="15" customHeight="1">
      <c r="A181" t="s">
        <v>870</v>
      </c>
      <c r="B181" t="s">
        <v>520</v>
      </c>
      <c r="C181" t="s">
        <v>273</v>
      </c>
      <c r="D181" s="8" t="s">
        <v>24</v>
      </c>
      <c r="E181" s="9" t="s">
        <v>25</v>
      </c>
      <c r="F181" t="s">
        <v>20</v>
      </c>
      <c r="G181" s="2">
        <v>46077</v>
      </c>
      <c r="H181" t="s">
        <v>686</v>
      </c>
      <c r="I181" s="2">
        <v>46109</v>
      </c>
      <c r="J181" t="s">
        <v>695</v>
      </c>
    </row>
    <row r="182" spans="1:10" ht="15" customHeight="1">
      <c r="A182" t="s">
        <v>871</v>
      </c>
      <c r="B182" t="s">
        <v>522</v>
      </c>
      <c r="C182" t="s">
        <v>37</v>
      </c>
      <c r="D182" s="8" t="s">
        <v>38</v>
      </c>
      <c r="E182" s="9" t="s">
        <v>39</v>
      </c>
      <c r="F182" t="s">
        <v>26</v>
      </c>
      <c r="G182" s="2">
        <v>46131</v>
      </c>
      <c r="H182" t="s">
        <v>686</v>
      </c>
      <c r="I182" s="2">
        <v>46145</v>
      </c>
      <c r="J182" t="s">
        <v>687</v>
      </c>
    </row>
    <row r="183" spans="1:10" ht="15" customHeight="1">
      <c r="A183" t="s">
        <v>872</v>
      </c>
      <c r="B183" t="s">
        <v>524</v>
      </c>
      <c r="C183" t="s">
        <v>130</v>
      </c>
      <c r="D183" s="8" t="s">
        <v>71</v>
      </c>
      <c r="E183" s="9" t="s">
        <v>72</v>
      </c>
      <c r="F183" t="s">
        <v>20</v>
      </c>
      <c r="G183" s="2">
        <v>46108</v>
      </c>
      <c r="H183" t="s">
        <v>686</v>
      </c>
      <c r="I183" s="2">
        <v>46115</v>
      </c>
      <c r="J183" t="s">
        <v>689</v>
      </c>
    </row>
    <row r="184" spans="1:10" ht="15" customHeight="1">
      <c r="A184" t="s">
        <v>873</v>
      </c>
      <c r="B184" t="s">
        <v>529</v>
      </c>
      <c r="C184" t="s">
        <v>62</v>
      </c>
      <c r="D184" s="8" t="s">
        <v>33</v>
      </c>
      <c r="E184" s="9" t="s">
        <v>19</v>
      </c>
      <c r="F184" t="s">
        <v>34</v>
      </c>
      <c r="G184" s="2">
        <v>46149</v>
      </c>
      <c r="H184" t="s">
        <v>686</v>
      </c>
      <c r="I184" s="2">
        <v>46171</v>
      </c>
      <c r="J184" t="s">
        <v>700</v>
      </c>
    </row>
    <row r="185" spans="1:10" ht="15" customHeight="1">
      <c r="A185" t="s">
        <v>874</v>
      </c>
      <c r="B185" t="s">
        <v>530</v>
      </c>
      <c r="C185" t="s">
        <v>196</v>
      </c>
      <c r="D185" s="8" t="s">
        <v>71</v>
      </c>
      <c r="E185" s="9" t="s">
        <v>72</v>
      </c>
      <c r="F185" t="s">
        <v>43</v>
      </c>
      <c r="G185" s="2">
        <v>46133</v>
      </c>
      <c r="H185" t="s">
        <v>686</v>
      </c>
      <c r="I185" s="2">
        <v>46163</v>
      </c>
      <c r="J185" t="s">
        <v>687</v>
      </c>
    </row>
    <row r="186" spans="1:10" ht="15" customHeight="1">
      <c r="A186" t="s">
        <v>875</v>
      </c>
      <c r="B186" t="s">
        <v>532</v>
      </c>
      <c r="C186" t="s">
        <v>68</v>
      </c>
      <c r="D186" s="8" t="s">
        <v>24</v>
      </c>
      <c r="E186" s="9" t="s">
        <v>25</v>
      </c>
      <c r="F186" t="s">
        <v>30</v>
      </c>
      <c r="G186" s="2">
        <v>46159</v>
      </c>
      <c r="H186" t="s">
        <v>686</v>
      </c>
      <c r="I186" s="2">
        <v>46188</v>
      </c>
      <c r="J186" t="s">
        <v>695</v>
      </c>
    </row>
    <row r="187" spans="1:10" ht="15" customHeight="1">
      <c r="A187" t="s">
        <v>876</v>
      </c>
      <c r="B187" t="s">
        <v>533</v>
      </c>
      <c r="C187" t="s">
        <v>142</v>
      </c>
      <c r="D187" s="8" t="s">
        <v>71</v>
      </c>
      <c r="E187" s="9" t="s">
        <v>72</v>
      </c>
      <c r="F187" t="s">
        <v>43</v>
      </c>
      <c r="G187" s="2">
        <v>46132</v>
      </c>
      <c r="H187" t="s">
        <v>686</v>
      </c>
      <c r="I187" s="2">
        <v>46138</v>
      </c>
      <c r="J187" t="s">
        <v>689</v>
      </c>
    </row>
    <row r="188" spans="1:10" ht="15" customHeight="1">
      <c r="A188" t="s">
        <v>877</v>
      </c>
      <c r="B188" t="s">
        <v>539</v>
      </c>
      <c r="C188" t="s">
        <v>79</v>
      </c>
      <c r="D188" s="8" t="s">
        <v>33</v>
      </c>
      <c r="E188" s="9" t="s">
        <v>19</v>
      </c>
      <c r="F188" t="s">
        <v>20</v>
      </c>
      <c r="G188" s="2">
        <v>46122</v>
      </c>
      <c r="H188" t="s">
        <v>686</v>
      </c>
      <c r="I188" s="2">
        <v>46161</v>
      </c>
      <c r="J188" t="s">
        <v>691</v>
      </c>
    </row>
    <row r="189" spans="1:10" ht="15" customHeight="1">
      <c r="A189" t="s">
        <v>878</v>
      </c>
      <c r="B189" t="s">
        <v>541</v>
      </c>
      <c r="C189" t="s">
        <v>206</v>
      </c>
      <c r="D189" s="8" t="s">
        <v>71</v>
      </c>
      <c r="E189" s="9" t="s">
        <v>72</v>
      </c>
      <c r="F189" t="s">
        <v>34</v>
      </c>
      <c r="G189" s="2">
        <v>46137</v>
      </c>
      <c r="H189" t="s">
        <v>686</v>
      </c>
      <c r="I189" s="2">
        <v>46162</v>
      </c>
      <c r="J189" t="s">
        <v>689</v>
      </c>
    </row>
    <row r="190" spans="1:10" ht="15" customHeight="1">
      <c r="A190" t="s">
        <v>879</v>
      </c>
      <c r="B190" t="s">
        <v>541</v>
      </c>
      <c r="C190" t="s">
        <v>206</v>
      </c>
      <c r="D190" s="8" t="s">
        <v>71</v>
      </c>
      <c r="E190" s="9" t="s">
        <v>72</v>
      </c>
      <c r="F190" t="s">
        <v>34</v>
      </c>
      <c r="G190" s="2">
        <v>46090</v>
      </c>
      <c r="H190" t="s">
        <v>686</v>
      </c>
      <c r="I190" s="2">
        <v>46097</v>
      </c>
      <c r="J190" t="s">
        <v>691</v>
      </c>
    </row>
    <row r="191" spans="1:10" ht="15" customHeight="1">
      <c r="A191" t="s">
        <v>880</v>
      </c>
      <c r="B191" t="s">
        <v>546</v>
      </c>
      <c r="C191" t="s">
        <v>89</v>
      </c>
      <c r="D191" s="8" t="s">
        <v>24</v>
      </c>
      <c r="E191" s="9" t="s">
        <v>25</v>
      </c>
      <c r="F191" t="s">
        <v>43</v>
      </c>
      <c r="G191" s="2">
        <v>46171</v>
      </c>
      <c r="H191" t="s">
        <v>686</v>
      </c>
      <c r="I191" s="2">
        <v>46212</v>
      </c>
      <c r="J191" t="s">
        <v>687</v>
      </c>
    </row>
    <row r="192" spans="1:10" ht="15" customHeight="1">
      <c r="A192" t="s">
        <v>881</v>
      </c>
      <c r="B192" t="s">
        <v>549</v>
      </c>
      <c r="C192" t="s">
        <v>29</v>
      </c>
      <c r="D192" s="8" t="s">
        <v>24</v>
      </c>
      <c r="E192" s="9" t="s">
        <v>25</v>
      </c>
      <c r="F192" t="s">
        <v>30</v>
      </c>
      <c r="G192" s="2">
        <v>46170</v>
      </c>
      <c r="H192" t="s">
        <v>686</v>
      </c>
      <c r="I192" s="2">
        <v>46175</v>
      </c>
      <c r="J192" t="s">
        <v>689</v>
      </c>
    </row>
    <row r="193" spans="1:10" ht="15" customHeight="1">
      <c r="A193" t="s">
        <v>882</v>
      </c>
      <c r="B193" t="s">
        <v>553</v>
      </c>
      <c r="C193" t="s">
        <v>53</v>
      </c>
      <c r="D193" s="8" t="s">
        <v>24</v>
      </c>
      <c r="E193" s="9" t="s">
        <v>25</v>
      </c>
      <c r="F193" t="s">
        <v>30</v>
      </c>
      <c r="G193" s="2">
        <v>46125</v>
      </c>
      <c r="H193" t="s">
        <v>686</v>
      </c>
      <c r="I193" s="2">
        <v>46168</v>
      </c>
      <c r="J193" t="s">
        <v>700</v>
      </c>
    </row>
    <row r="194" spans="1:10" ht="15" customHeight="1">
      <c r="A194" t="s">
        <v>883</v>
      </c>
      <c r="B194" t="s">
        <v>555</v>
      </c>
      <c r="C194" t="s">
        <v>59</v>
      </c>
      <c r="D194" s="8" t="s">
        <v>24</v>
      </c>
      <c r="E194" s="9" t="s">
        <v>25</v>
      </c>
      <c r="F194" t="s">
        <v>60</v>
      </c>
      <c r="G194" s="2">
        <v>46116</v>
      </c>
      <c r="H194" t="s">
        <v>686</v>
      </c>
      <c r="I194" s="2">
        <v>46145</v>
      </c>
      <c r="J194" t="s">
        <v>689</v>
      </c>
    </row>
    <row r="195" spans="1:10" ht="15" customHeight="1">
      <c r="A195" t="s">
        <v>884</v>
      </c>
      <c r="B195" t="s">
        <v>567</v>
      </c>
      <c r="C195" t="s">
        <v>206</v>
      </c>
      <c r="D195" s="8" t="s">
        <v>71</v>
      </c>
      <c r="E195" s="9" t="s">
        <v>72</v>
      </c>
      <c r="F195" t="s">
        <v>34</v>
      </c>
      <c r="G195" s="2">
        <v>46162</v>
      </c>
      <c r="H195" t="s">
        <v>686</v>
      </c>
      <c r="I195" s="2">
        <v>46189</v>
      </c>
      <c r="J195" t="s">
        <v>687</v>
      </c>
    </row>
    <row r="196" spans="1:10" ht="15" customHeight="1">
      <c r="A196" t="s">
        <v>885</v>
      </c>
      <c r="B196" t="s">
        <v>571</v>
      </c>
      <c r="C196" t="s">
        <v>238</v>
      </c>
      <c r="D196" s="8" t="s">
        <v>239</v>
      </c>
      <c r="E196" s="9" t="s">
        <v>240</v>
      </c>
      <c r="F196" t="s">
        <v>30</v>
      </c>
      <c r="G196" s="2">
        <v>46150</v>
      </c>
      <c r="H196" t="s">
        <v>686</v>
      </c>
      <c r="I196" s="2">
        <v>46179</v>
      </c>
      <c r="J196" t="s">
        <v>700</v>
      </c>
    </row>
    <row r="197" spans="1:10" ht="15" customHeight="1">
      <c r="A197" t="s">
        <v>886</v>
      </c>
      <c r="B197" t="s">
        <v>573</v>
      </c>
      <c r="C197" t="s">
        <v>89</v>
      </c>
      <c r="D197" s="8" t="s">
        <v>24</v>
      </c>
      <c r="E197" s="9" t="s">
        <v>25</v>
      </c>
      <c r="F197" t="s">
        <v>43</v>
      </c>
      <c r="G197" s="2">
        <v>46153</v>
      </c>
      <c r="H197" t="s">
        <v>686</v>
      </c>
      <c r="I197" s="2">
        <v>46175</v>
      </c>
      <c r="J197" t="s">
        <v>689</v>
      </c>
    </row>
    <row r="198" spans="1:10" ht="15" customHeight="1">
      <c r="A198" t="s">
        <v>887</v>
      </c>
      <c r="B198" t="s">
        <v>584</v>
      </c>
      <c r="C198" t="s">
        <v>196</v>
      </c>
      <c r="D198" s="8" t="s">
        <v>71</v>
      </c>
      <c r="E198" s="9" t="s">
        <v>72</v>
      </c>
      <c r="F198" t="s">
        <v>43</v>
      </c>
      <c r="G198" s="2">
        <v>46173</v>
      </c>
      <c r="H198" t="s">
        <v>686</v>
      </c>
      <c r="I198" s="2">
        <v>46218</v>
      </c>
      <c r="J198" t="s">
        <v>700</v>
      </c>
    </row>
    <row r="199" spans="1:10" ht="15" customHeight="1">
      <c r="A199" t="s">
        <v>888</v>
      </c>
      <c r="B199" t="s">
        <v>589</v>
      </c>
      <c r="C199" t="s">
        <v>77</v>
      </c>
      <c r="D199" s="8" t="s">
        <v>33</v>
      </c>
      <c r="E199" s="9" t="s">
        <v>19</v>
      </c>
      <c r="F199" t="s">
        <v>20</v>
      </c>
      <c r="G199" s="2">
        <v>46156</v>
      </c>
      <c r="H199" t="s">
        <v>686</v>
      </c>
      <c r="I199" s="2">
        <v>46167</v>
      </c>
      <c r="J199" t="s">
        <v>700</v>
      </c>
    </row>
    <row r="200" spans="1:10" ht="15" customHeight="1">
      <c r="A200" t="s">
        <v>889</v>
      </c>
      <c r="B200" t="s">
        <v>595</v>
      </c>
      <c r="C200" t="s">
        <v>83</v>
      </c>
      <c r="D200" s="8" t="s">
        <v>33</v>
      </c>
      <c r="E200" s="9" t="s">
        <v>19</v>
      </c>
      <c r="F200" t="s">
        <v>26</v>
      </c>
      <c r="G200" s="2">
        <v>46232</v>
      </c>
      <c r="H200" t="s">
        <v>686</v>
      </c>
      <c r="I200" s="2">
        <v>46248</v>
      </c>
      <c r="J200" t="s">
        <v>687</v>
      </c>
    </row>
    <row r="201" spans="1:10" ht="15" customHeight="1">
      <c r="A201" t="s">
        <v>890</v>
      </c>
      <c r="B201" t="s">
        <v>597</v>
      </c>
      <c r="C201" t="s">
        <v>238</v>
      </c>
      <c r="D201" s="8" t="s">
        <v>239</v>
      </c>
      <c r="E201" s="9" t="s">
        <v>240</v>
      </c>
      <c r="F201" t="s">
        <v>30</v>
      </c>
      <c r="G201" s="2">
        <v>46196</v>
      </c>
      <c r="H201" t="s">
        <v>686</v>
      </c>
      <c r="I201" s="2">
        <v>46235</v>
      </c>
      <c r="J201" t="s">
        <v>687</v>
      </c>
    </row>
    <row r="202" spans="1:10" ht="15" customHeight="1">
      <c r="A202" t="s">
        <v>891</v>
      </c>
      <c r="B202" t="s">
        <v>602</v>
      </c>
      <c r="C202" t="s">
        <v>23</v>
      </c>
      <c r="D202" s="8" t="s">
        <v>24</v>
      </c>
      <c r="E202" s="9" t="s">
        <v>25</v>
      </c>
      <c r="F202" t="s">
        <v>26</v>
      </c>
      <c r="G202" s="2">
        <v>46211</v>
      </c>
      <c r="H202" t="s">
        <v>892</v>
      </c>
      <c r="I202" s="2"/>
      <c r="J202" t="s">
        <v>687</v>
      </c>
    </row>
    <row r="203" spans="1:10" ht="15" customHeight="1">
      <c r="A203" t="s">
        <v>893</v>
      </c>
      <c r="B203" t="s">
        <v>603</v>
      </c>
      <c r="C203" t="s">
        <v>29</v>
      </c>
      <c r="D203" s="8" t="s">
        <v>24</v>
      </c>
      <c r="E203" s="9" t="s">
        <v>25</v>
      </c>
      <c r="F203" t="s">
        <v>60</v>
      </c>
      <c r="G203" s="2">
        <v>46236</v>
      </c>
      <c r="H203" t="s">
        <v>892</v>
      </c>
      <c r="I203" s="2"/>
      <c r="J203" t="s">
        <v>691</v>
      </c>
    </row>
    <row r="204" spans="1:10" ht="15" customHeight="1">
      <c r="A204" t="s">
        <v>894</v>
      </c>
      <c r="B204" t="s">
        <v>608</v>
      </c>
      <c r="C204" t="s">
        <v>53</v>
      </c>
      <c r="D204" s="8" t="s">
        <v>24</v>
      </c>
      <c r="E204" s="9" t="s">
        <v>25</v>
      </c>
      <c r="F204" t="s">
        <v>60</v>
      </c>
      <c r="G204" s="2">
        <v>46245</v>
      </c>
      <c r="H204" t="s">
        <v>686</v>
      </c>
      <c r="I204" s="2">
        <v>46258</v>
      </c>
      <c r="J204" t="s">
        <v>691</v>
      </c>
    </row>
    <row r="205" spans="1:10" ht="15" customHeight="1">
      <c r="A205" t="s">
        <v>895</v>
      </c>
      <c r="B205" t="s">
        <v>608</v>
      </c>
      <c r="C205" t="s">
        <v>53</v>
      </c>
      <c r="D205" s="8" t="s">
        <v>24</v>
      </c>
      <c r="E205" s="9" t="s">
        <v>25</v>
      </c>
      <c r="F205" t="s">
        <v>60</v>
      </c>
      <c r="G205" s="2">
        <v>46206</v>
      </c>
      <c r="H205" t="s">
        <v>892</v>
      </c>
      <c r="I205" s="2"/>
      <c r="J205" t="s">
        <v>689</v>
      </c>
    </row>
    <row r="206" spans="1:10" ht="15" customHeight="1">
      <c r="A206" t="s">
        <v>896</v>
      </c>
      <c r="B206" t="s">
        <v>611</v>
      </c>
      <c r="C206" t="s">
        <v>62</v>
      </c>
      <c r="D206" s="8" t="s">
        <v>33</v>
      </c>
      <c r="E206" s="9" t="s">
        <v>19</v>
      </c>
      <c r="F206" t="s">
        <v>34</v>
      </c>
      <c r="G206" s="2">
        <v>46196</v>
      </c>
      <c r="H206" t="s">
        <v>686</v>
      </c>
      <c r="I206" s="2">
        <v>46234</v>
      </c>
      <c r="J206" t="s">
        <v>695</v>
      </c>
    </row>
    <row r="207" spans="1:10" ht="15" customHeight="1">
      <c r="A207" t="s">
        <v>897</v>
      </c>
      <c r="B207" t="s">
        <v>611</v>
      </c>
      <c r="C207" t="s">
        <v>62</v>
      </c>
      <c r="D207" s="8" t="s">
        <v>33</v>
      </c>
      <c r="E207" s="9" t="s">
        <v>19</v>
      </c>
      <c r="F207" t="s">
        <v>34</v>
      </c>
      <c r="G207" s="2">
        <v>46246</v>
      </c>
      <c r="H207" t="s">
        <v>892</v>
      </c>
      <c r="I207" s="2"/>
      <c r="J207" t="s">
        <v>687</v>
      </c>
    </row>
    <row r="208" spans="1:10" ht="15" customHeight="1">
      <c r="A208" t="s">
        <v>898</v>
      </c>
      <c r="B208" t="s">
        <v>613</v>
      </c>
      <c r="C208" t="s">
        <v>68</v>
      </c>
      <c r="D208" s="8" t="s">
        <v>24</v>
      </c>
      <c r="E208" s="9" t="s">
        <v>25</v>
      </c>
      <c r="F208" t="s">
        <v>26</v>
      </c>
      <c r="G208" s="2">
        <v>46255</v>
      </c>
      <c r="H208" t="s">
        <v>686</v>
      </c>
      <c r="I208" s="2">
        <v>46276</v>
      </c>
      <c r="J208" t="s">
        <v>700</v>
      </c>
    </row>
    <row r="209" spans="1:10" ht="15" customHeight="1">
      <c r="A209" t="s">
        <v>899</v>
      </c>
      <c r="B209" t="s">
        <v>620</v>
      </c>
      <c r="C209" t="s">
        <v>295</v>
      </c>
      <c r="D209" s="8" t="s">
        <v>33</v>
      </c>
      <c r="E209" s="9" t="s">
        <v>19</v>
      </c>
      <c r="F209" t="s">
        <v>30</v>
      </c>
      <c r="G209" s="2">
        <v>46203</v>
      </c>
      <c r="H209" t="s">
        <v>686</v>
      </c>
      <c r="I209" s="2">
        <v>46242</v>
      </c>
      <c r="J209" t="s">
        <v>691</v>
      </c>
    </row>
    <row r="210" spans="1:10" ht="15" customHeight="1">
      <c r="A210" t="s">
        <v>900</v>
      </c>
      <c r="B210" t="s">
        <v>621</v>
      </c>
      <c r="C210" t="s">
        <v>83</v>
      </c>
      <c r="D210" s="8" t="s">
        <v>33</v>
      </c>
      <c r="E210" s="9" t="s">
        <v>19</v>
      </c>
      <c r="F210" t="s">
        <v>60</v>
      </c>
      <c r="G210" s="2">
        <v>46205</v>
      </c>
      <c r="H210" t="s">
        <v>686</v>
      </c>
      <c r="I210" s="2">
        <v>46217</v>
      </c>
      <c r="J210" t="s">
        <v>695</v>
      </c>
    </row>
    <row r="211" spans="1:10" ht="15" customHeight="1">
      <c r="A211" t="s">
        <v>901</v>
      </c>
      <c r="B211" t="s">
        <v>622</v>
      </c>
      <c r="C211" t="s">
        <v>85</v>
      </c>
      <c r="D211" s="8" t="s">
        <v>71</v>
      </c>
      <c r="E211" s="9" t="s">
        <v>72</v>
      </c>
      <c r="F211" t="s">
        <v>43</v>
      </c>
      <c r="G211" s="2">
        <v>46202</v>
      </c>
      <c r="H211" t="s">
        <v>686</v>
      </c>
      <c r="I211" s="2">
        <v>46226</v>
      </c>
      <c r="J211" t="s">
        <v>687</v>
      </c>
    </row>
    <row r="212" spans="1:10" ht="15" customHeight="1">
      <c r="A212" t="s">
        <v>902</v>
      </c>
      <c r="B212" t="s">
        <v>628</v>
      </c>
      <c r="C212" t="s">
        <v>23</v>
      </c>
      <c r="D212" s="8" t="s">
        <v>24</v>
      </c>
      <c r="E212" s="9" t="s">
        <v>25</v>
      </c>
      <c r="F212" t="s">
        <v>60</v>
      </c>
      <c r="G212" s="2">
        <v>46246</v>
      </c>
      <c r="H212" t="s">
        <v>892</v>
      </c>
      <c r="I212" s="2"/>
      <c r="J212" t="s">
        <v>687</v>
      </c>
    </row>
    <row r="213" spans="1:10" ht="15" customHeight="1">
      <c r="A213" t="s">
        <v>903</v>
      </c>
      <c r="B213" t="s">
        <v>636</v>
      </c>
      <c r="C213" t="s">
        <v>55</v>
      </c>
      <c r="D213" s="8" t="s">
        <v>33</v>
      </c>
      <c r="E213" s="9" t="s">
        <v>19</v>
      </c>
      <c r="F213" t="s">
        <v>30</v>
      </c>
      <c r="G213" s="2">
        <v>46282</v>
      </c>
      <c r="H213" t="s">
        <v>686</v>
      </c>
      <c r="I213" s="2">
        <v>46310</v>
      </c>
      <c r="J213" t="s">
        <v>691</v>
      </c>
    </row>
    <row r="214" spans="1:10" ht="15" customHeight="1">
      <c r="A214" t="s">
        <v>904</v>
      </c>
      <c r="B214" t="s">
        <v>641</v>
      </c>
      <c r="C214" t="s">
        <v>68</v>
      </c>
      <c r="D214" s="8" t="s">
        <v>24</v>
      </c>
      <c r="E214" s="9" t="s">
        <v>25</v>
      </c>
      <c r="F214" t="s">
        <v>30</v>
      </c>
      <c r="G214" s="2">
        <v>46269</v>
      </c>
      <c r="H214" t="s">
        <v>686</v>
      </c>
      <c r="I214" s="2">
        <v>46303</v>
      </c>
      <c r="J214" t="s">
        <v>687</v>
      </c>
    </row>
    <row r="215" spans="1:10" ht="15" customHeight="1">
      <c r="A215" t="s">
        <v>905</v>
      </c>
      <c r="B215" t="s">
        <v>643</v>
      </c>
      <c r="C215" t="s">
        <v>77</v>
      </c>
      <c r="D215" s="8" t="s">
        <v>33</v>
      </c>
      <c r="E215" s="9" t="s">
        <v>19</v>
      </c>
      <c r="F215" t="s">
        <v>43</v>
      </c>
      <c r="G215" s="2">
        <v>46257</v>
      </c>
      <c r="H215" t="s">
        <v>892</v>
      </c>
      <c r="I215" s="2"/>
      <c r="J215" t="s">
        <v>695</v>
      </c>
    </row>
    <row r="216" spans="1:10" ht="15" customHeight="1">
      <c r="A216" t="s">
        <v>906</v>
      </c>
      <c r="B216" t="s">
        <v>650</v>
      </c>
      <c r="C216" t="s">
        <v>87</v>
      </c>
      <c r="D216" s="8" t="s">
        <v>71</v>
      </c>
      <c r="E216" s="9" t="s">
        <v>72</v>
      </c>
      <c r="F216" t="s">
        <v>20</v>
      </c>
      <c r="G216" s="2">
        <v>46283</v>
      </c>
      <c r="H216" t="s">
        <v>892</v>
      </c>
      <c r="I216" s="2"/>
      <c r="J216" t="s">
        <v>691</v>
      </c>
    </row>
    <row r="217" spans="1:10" ht="15" customHeight="1">
      <c r="A217" t="s">
        <v>907</v>
      </c>
      <c r="B217" t="s">
        <v>650</v>
      </c>
      <c r="C217" t="s">
        <v>87</v>
      </c>
      <c r="D217" s="8" t="s">
        <v>71</v>
      </c>
      <c r="E217" s="9" t="s">
        <v>72</v>
      </c>
      <c r="F217" t="s">
        <v>20</v>
      </c>
      <c r="G217" s="2">
        <v>46250</v>
      </c>
      <c r="H217" t="s">
        <v>892</v>
      </c>
      <c r="I217" s="2"/>
      <c r="J217" t="s">
        <v>691</v>
      </c>
    </row>
    <row r="218" spans="1:10" ht="15" customHeight="1">
      <c r="A218" t="s">
        <v>908</v>
      </c>
      <c r="B218" t="s">
        <v>653</v>
      </c>
      <c r="C218" t="s">
        <v>273</v>
      </c>
      <c r="D218" s="8" t="s">
        <v>24</v>
      </c>
      <c r="E218" s="9" t="s">
        <v>25</v>
      </c>
      <c r="F218" t="s">
        <v>20</v>
      </c>
      <c r="G218" s="2">
        <v>46264</v>
      </c>
      <c r="H218" t="s">
        <v>686</v>
      </c>
      <c r="I218" s="2">
        <v>46299</v>
      </c>
      <c r="J218" t="s">
        <v>700</v>
      </c>
    </row>
    <row r="219" spans="1:10" ht="15" customHeight="1">
      <c r="A219" t="s">
        <v>909</v>
      </c>
      <c r="B219" t="s">
        <v>658</v>
      </c>
      <c r="C219" t="s">
        <v>42</v>
      </c>
      <c r="D219" s="8" t="s">
        <v>24</v>
      </c>
      <c r="E219" s="9" t="s">
        <v>25</v>
      </c>
      <c r="F219" t="s">
        <v>34</v>
      </c>
      <c r="G219" s="2">
        <v>46267</v>
      </c>
      <c r="H219" t="s">
        <v>686</v>
      </c>
      <c r="I219" s="2">
        <v>46278</v>
      </c>
      <c r="J219" t="s">
        <v>689</v>
      </c>
    </row>
    <row r="220" spans="1:10" ht="15" customHeight="1">
      <c r="A220" t="s">
        <v>910</v>
      </c>
      <c r="B220" t="s">
        <v>658</v>
      </c>
      <c r="C220" t="s">
        <v>42</v>
      </c>
      <c r="D220" s="8" t="s">
        <v>24</v>
      </c>
      <c r="E220" s="9" t="s">
        <v>25</v>
      </c>
      <c r="F220" t="s">
        <v>34</v>
      </c>
      <c r="G220" s="2">
        <v>46242</v>
      </c>
      <c r="H220" t="s">
        <v>686</v>
      </c>
      <c r="I220" s="2">
        <v>46277</v>
      </c>
      <c r="J220" t="s">
        <v>687</v>
      </c>
    </row>
    <row r="221" spans="1:10" ht="15" customHeight="1">
      <c r="A221" t="s">
        <v>911</v>
      </c>
      <c r="B221" t="s">
        <v>659</v>
      </c>
      <c r="C221" t="s">
        <v>46</v>
      </c>
      <c r="D221" s="8" t="s">
        <v>24</v>
      </c>
      <c r="E221" s="9" t="s">
        <v>25</v>
      </c>
      <c r="F221" t="s">
        <v>34</v>
      </c>
      <c r="G221" s="2">
        <v>46245</v>
      </c>
      <c r="H221" t="s">
        <v>686</v>
      </c>
      <c r="I221" s="2">
        <v>46252</v>
      </c>
      <c r="J221" t="s">
        <v>689</v>
      </c>
    </row>
    <row r="222" spans="1:10" ht="15" customHeight="1">
      <c r="A222" t="s">
        <v>912</v>
      </c>
      <c r="B222" t="s">
        <v>661</v>
      </c>
      <c r="C222" t="s">
        <v>51</v>
      </c>
      <c r="D222" s="8" t="s">
        <v>38</v>
      </c>
      <c r="E222" s="9" t="s">
        <v>39</v>
      </c>
      <c r="F222" t="s">
        <v>43</v>
      </c>
      <c r="G222" s="2">
        <v>46279</v>
      </c>
      <c r="H222" t="s">
        <v>892</v>
      </c>
      <c r="I222" s="2"/>
      <c r="J222" t="s">
        <v>700</v>
      </c>
    </row>
    <row r="223" spans="1:10" ht="15" customHeight="1">
      <c r="A223" t="s">
        <v>913</v>
      </c>
      <c r="B223" t="s">
        <v>662</v>
      </c>
      <c r="C223" t="s">
        <v>53</v>
      </c>
      <c r="D223" s="8" t="s">
        <v>24</v>
      </c>
      <c r="E223" s="9" t="s">
        <v>25</v>
      </c>
      <c r="F223" t="s">
        <v>60</v>
      </c>
      <c r="G223" s="2">
        <v>46273</v>
      </c>
      <c r="H223" t="s">
        <v>892</v>
      </c>
      <c r="I223" s="2"/>
      <c r="J223" t="s">
        <v>687</v>
      </c>
    </row>
    <row r="224" spans="1:10" ht="15" customHeight="1">
      <c r="A224" t="s">
        <v>914</v>
      </c>
      <c r="B224" t="s">
        <v>665</v>
      </c>
      <c r="C224" t="s">
        <v>62</v>
      </c>
      <c r="D224" s="8" t="s">
        <v>33</v>
      </c>
      <c r="E224" s="9" t="s">
        <v>19</v>
      </c>
      <c r="F224" t="s">
        <v>34</v>
      </c>
      <c r="G224" s="2">
        <v>46315</v>
      </c>
      <c r="H224" t="s">
        <v>892</v>
      </c>
      <c r="I224" s="2"/>
      <c r="J224" t="s">
        <v>687</v>
      </c>
    </row>
    <row r="225" spans="1:10" ht="15" customHeight="1">
      <c r="A225" t="s">
        <v>915</v>
      </c>
      <c r="B225" t="s">
        <v>670</v>
      </c>
      <c r="C225" t="s">
        <v>74</v>
      </c>
      <c r="D225" s="8" t="s">
        <v>75</v>
      </c>
      <c r="E225" s="9" t="s">
        <v>72</v>
      </c>
      <c r="F225" t="s">
        <v>30</v>
      </c>
      <c r="G225" s="2">
        <v>46250</v>
      </c>
      <c r="H225" t="s">
        <v>892</v>
      </c>
      <c r="I225" s="2"/>
      <c r="J225" t="s">
        <v>687</v>
      </c>
    </row>
    <row r="226" spans="1:10" ht="15" customHeight="1">
      <c r="A226" t="s">
        <v>916</v>
      </c>
      <c r="B226" t="s">
        <v>674</v>
      </c>
      <c r="C226" t="s">
        <v>295</v>
      </c>
      <c r="D226" s="8" t="s">
        <v>33</v>
      </c>
      <c r="E226" s="9" t="s">
        <v>19</v>
      </c>
      <c r="F226" t="s">
        <v>30</v>
      </c>
      <c r="G226" s="2">
        <v>46335</v>
      </c>
      <c r="H226" t="s">
        <v>686</v>
      </c>
      <c r="I226" s="2">
        <v>46367</v>
      </c>
      <c r="J226" t="s">
        <v>689</v>
      </c>
    </row>
    <row r="227" spans="1:10" ht="15" customHeight="1">
      <c r="A227" t="s">
        <v>917</v>
      </c>
      <c r="B227" t="s">
        <v>675</v>
      </c>
      <c r="C227" t="s">
        <v>83</v>
      </c>
      <c r="D227" s="8" t="s">
        <v>33</v>
      </c>
      <c r="E227" s="9" t="s">
        <v>19</v>
      </c>
      <c r="F227" t="s">
        <v>26</v>
      </c>
      <c r="G227" s="2">
        <v>46259</v>
      </c>
      <c r="H227" t="s">
        <v>686</v>
      </c>
      <c r="I227" s="2">
        <v>46295</v>
      </c>
      <c r="J227" t="s">
        <v>689</v>
      </c>
    </row>
    <row r="228" spans="1:10" ht="15" customHeight="1">
      <c r="A228" t="s">
        <v>918</v>
      </c>
      <c r="B228" t="s">
        <v>677</v>
      </c>
      <c r="C228" t="s">
        <v>87</v>
      </c>
      <c r="D228" s="8" t="s">
        <v>71</v>
      </c>
      <c r="E228" s="9" t="s">
        <v>72</v>
      </c>
      <c r="F228" t="s">
        <v>20</v>
      </c>
      <c r="G228" s="2">
        <v>46330</v>
      </c>
      <c r="H228" t="s">
        <v>686</v>
      </c>
      <c r="I228" s="2">
        <v>46345</v>
      </c>
      <c r="J228" t="s">
        <v>687</v>
      </c>
    </row>
    <row r="229" spans="1:10" ht="15" customHeight="1">
      <c r="A229" t="s">
        <v>919</v>
      </c>
      <c r="B229" t="s">
        <v>678</v>
      </c>
      <c r="C229" t="s">
        <v>89</v>
      </c>
      <c r="D229" s="8" t="s">
        <v>24</v>
      </c>
      <c r="E229" s="9" t="s">
        <v>25</v>
      </c>
      <c r="F229" t="s">
        <v>43</v>
      </c>
      <c r="G229" s="2">
        <v>46289</v>
      </c>
      <c r="H229" t="s">
        <v>686</v>
      </c>
      <c r="I229" s="2">
        <v>46327</v>
      </c>
      <c r="J229" t="s">
        <v>691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109375" defaultRowHeight="15" customHeight="1"/>
  <cols>
    <col min="1" max="1" width="30" customWidth="1"/>
    <col min="2" max="2" width="18" customWidth="1"/>
    <col min="3" max="3" width="30" customWidth="1"/>
    <col min="4" max="4" width="34" customWidth="1"/>
  </cols>
  <sheetData>
    <row r="1" spans="1:6" ht="15" customHeight="1">
      <c r="A1" s="6" t="s">
        <v>920</v>
      </c>
      <c r="D1" s="6" t="s">
        <v>921</v>
      </c>
      <c r="E1" s="6" t="s">
        <v>922</v>
      </c>
      <c r="F1" s="6" t="s">
        <v>923</v>
      </c>
    </row>
    <row r="2" spans="1:6" ht="15" customHeight="1">
      <c r="A2" s="7" t="s">
        <v>924</v>
      </c>
      <c r="D2" s="7" t="s">
        <v>925</v>
      </c>
      <c r="E2" s="7" t="s">
        <v>926</v>
      </c>
      <c r="F2" s="7" t="s">
        <v>927</v>
      </c>
    </row>
    <row r="3" spans="1:6" ht="15" customHeight="1">
      <c r="A3" s="7" t="s">
        <v>2</v>
      </c>
      <c r="D3" s="7" t="s">
        <v>928</v>
      </c>
      <c r="E3" s="7" t="s">
        <v>929</v>
      </c>
      <c r="F3" s="7" t="s">
        <v>927</v>
      </c>
    </row>
    <row r="4" spans="1:6" ht="23.85" customHeight="1">
      <c r="A4" s="7" t="s">
        <v>3</v>
      </c>
      <c r="B4" s="7" t="s">
        <v>4</v>
      </c>
      <c r="C4" s="7" t="s">
        <v>5</v>
      </c>
      <c r="D4" s="7" t="s">
        <v>930</v>
      </c>
      <c r="E4" s="7" t="s">
        <v>929</v>
      </c>
      <c r="F4" s="7" t="s">
        <v>931</v>
      </c>
    </row>
    <row r="5" spans="1:6" ht="15" customHeight="1">
      <c r="A5" s="7" t="s">
        <v>6</v>
      </c>
      <c r="B5" s="8" t="s">
        <v>932</v>
      </c>
      <c r="C5" s="9" t="s">
        <v>933</v>
      </c>
      <c r="D5" s="7" t="s">
        <v>934</v>
      </c>
      <c r="E5" s="7" t="s">
        <v>929</v>
      </c>
      <c r="F5" s="7" t="s">
        <v>927</v>
      </c>
    </row>
    <row r="6" spans="1:6" ht="15" customHeight="1">
      <c r="A6" s="7" t="s">
        <v>7</v>
      </c>
      <c r="B6" s="8" t="s">
        <v>935</v>
      </c>
      <c r="C6" s="9" t="s">
        <v>72</v>
      </c>
      <c r="D6" s="7" t="s">
        <v>936</v>
      </c>
      <c r="E6" s="7" t="s">
        <v>937</v>
      </c>
      <c r="F6" s="7" t="s">
        <v>927</v>
      </c>
    </row>
    <row r="7" spans="1:6" ht="15" customHeight="1">
      <c r="A7" s="7" t="s">
        <v>8</v>
      </c>
      <c r="B7" s="8" t="s">
        <v>938</v>
      </c>
      <c r="C7" s="9" t="s">
        <v>939</v>
      </c>
      <c r="D7" s="7" t="s">
        <v>940</v>
      </c>
      <c r="E7" s="7" t="s">
        <v>941</v>
      </c>
      <c r="F7" s="7" t="s">
        <v>927</v>
      </c>
    </row>
    <row r="8" spans="1:6" ht="15" customHeight="1">
      <c r="A8" s="7" t="s">
        <v>11</v>
      </c>
      <c r="B8" s="8" t="s">
        <v>942</v>
      </c>
      <c r="C8" s="9" t="s">
        <v>943</v>
      </c>
      <c r="D8" s="7" t="s">
        <v>944</v>
      </c>
      <c r="E8" s="7" t="s">
        <v>945</v>
      </c>
      <c r="F8" s="7" t="s">
        <v>946</v>
      </c>
    </row>
    <row r="9" spans="1:6" ht="23.85" customHeight="1">
      <c r="A9" s="7" t="s">
        <v>12</v>
      </c>
      <c r="B9" s="8" t="s">
        <v>947</v>
      </c>
      <c r="C9" s="9" t="s">
        <v>240</v>
      </c>
      <c r="D9" s="7" t="s">
        <v>948</v>
      </c>
      <c r="E9" s="7" t="s">
        <v>949</v>
      </c>
      <c r="F9" s="7" t="s">
        <v>946</v>
      </c>
    </row>
    <row r="10" spans="1:6" ht="23.85" customHeight="1">
      <c r="A10" s="7" t="s">
        <v>950</v>
      </c>
      <c r="B10" s="8" t="s">
        <v>951</v>
      </c>
      <c r="C10" s="9" t="s">
        <v>952</v>
      </c>
      <c r="D10" s="7" t="s">
        <v>953</v>
      </c>
      <c r="E10" s="7" t="s">
        <v>954</v>
      </c>
      <c r="F10" s="7" t="s">
        <v>927</v>
      </c>
    </row>
    <row r="11" spans="1:6" ht="23.85" customHeight="1">
      <c r="A11" s="7" t="s">
        <v>955</v>
      </c>
      <c r="B11" s="8" t="s">
        <v>956</v>
      </c>
      <c r="C11" s="9" t="s">
        <v>957</v>
      </c>
      <c r="D11" s="7" t="s">
        <v>958</v>
      </c>
      <c r="E11" s="7" t="s">
        <v>959</v>
      </c>
      <c r="F11" s="7" t="s">
        <v>960</v>
      </c>
    </row>
    <row r="12" spans="1:6">
      <c r="A12" t="s">
        <v>4</v>
      </c>
      <c r="B12" t="s">
        <v>961</v>
      </c>
      <c r="C12" t="s">
        <v>929</v>
      </c>
      <c r="D12" t="s">
        <v>962</v>
      </c>
    </row>
    <row r="13" spans="1:6">
      <c r="A13" t="s">
        <v>5</v>
      </c>
      <c r="B13" t="s">
        <v>963</v>
      </c>
      <c r="C13" t="s">
        <v>929</v>
      </c>
      <c r="D13" t="s">
        <v>927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Pramanik, Arpita</dc:creator>
  <cp:keywords/>
  <dc:description/>
  <cp:lastModifiedBy/>
  <cp:revision>0</cp:revision>
  <dcterms:created xsi:type="dcterms:W3CDTF">2026-10-22T08:47:34Z</dcterms:created>
  <dcterms:modified xsi:type="dcterms:W3CDTF">2026-10-22T08:48:03Z</dcterms:modified>
  <cp:category/>
  <cp:contentStatus/>
</cp:coreProperties>
</file>